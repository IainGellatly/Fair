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gel\Dropbox\RetroGearLabs\Software\Fair\data\"/>
    </mc:Choice>
  </mc:AlternateContent>
  <bookViews>
    <workbookView xWindow="0" yWindow="0" windowWidth="26550" windowHeight="10320" activeTab="1"/>
  </bookViews>
  <sheets>
    <sheet name="events" sheetId="1" r:id="rId1"/>
    <sheet name="Sheet4" sheetId="4" r:id="rId2"/>
    <sheet name="sponsors" sheetId="2" r:id="rId3"/>
    <sheet name="Sheet1" sheetId="5" r:id="rId4"/>
    <sheet name="animals" sheetId="3" r:id="rId5"/>
  </sheets>
  <definedNames>
    <definedName name="events" localSheetId="0">events!$A$1:$H$123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3" i="4" l="1"/>
  <c r="L23" i="4" s="1"/>
  <c r="I23" i="4"/>
  <c r="H23" i="4"/>
  <c r="G23" i="4"/>
  <c r="J22" i="4" l="1"/>
  <c r="I22" i="4"/>
  <c r="H22" i="4"/>
  <c r="G22" i="4"/>
  <c r="L22" i="4" l="1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I21" i="4"/>
  <c r="H21" i="4"/>
  <c r="G21" i="4"/>
  <c r="L21" i="4" s="1"/>
  <c r="I20" i="4"/>
  <c r="H20" i="4"/>
  <c r="G20" i="4"/>
  <c r="L20" i="4" s="1"/>
  <c r="I19" i="4"/>
  <c r="H19" i="4"/>
  <c r="G19" i="4"/>
  <c r="L19" i="4" s="1"/>
  <c r="I18" i="4"/>
  <c r="H18" i="4"/>
  <c r="G18" i="4"/>
  <c r="I17" i="4"/>
  <c r="H17" i="4"/>
  <c r="G17" i="4"/>
  <c r="L17" i="4" s="1"/>
  <c r="I16" i="4"/>
  <c r="H16" i="4"/>
  <c r="G16" i="4"/>
  <c r="L16" i="4" s="1"/>
  <c r="I15" i="4"/>
  <c r="H15" i="4"/>
  <c r="G15" i="4"/>
  <c r="L15" i="4" s="1"/>
  <c r="I14" i="4"/>
  <c r="H14" i="4"/>
  <c r="G14" i="4"/>
  <c r="I13" i="4"/>
  <c r="H13" i="4"/>
  <c r="G13" i="4"/>
  <c r="I12" i="4"/>
  <c r="H12" i="4"/>
  <c r="G12" i="4"/>
  <c r="L12" i="4" s="1"/>
  <c r="I11" i="4"/>
  <c r="H11" i="4"/>
  <c r="G11" i="4"/>
  <c r="L11" i="4" s="1"/>
  <c r="I10" i="4"/>
  <c r="H10" i="4"/>
  <c r="G10" i="4"/>
  <c r="I9" i="4"/>
  <c r="H9" i="4"/>
  <c r="G9" i="4"/>
  <c r="L13" i="4" l="1"/>
  <c r="L10" i="4"/>
  <c r="L14" i="4"/>
  <c r="L18" i="4"/>
  <c r="L9" i="4"/>
</calcChain>
</file>

<file path=xl/connections.xml><?xml version="1.0" encoding="utf-8"?>
<connections xmlns="http://schemas.openxmlformats.org/spreadsheetml/2006/main">
  <connection id="1" name="events" type="6" refreshedVersion="6" background="1" saveData="1">
    <textPr sourceFile="C:\Users\iagel\Dropbox\RetroGearLabs\Products\CountyFairPWA\events.csv" comma="1">
      <textFields count="7">
        <textField/>
        <textField/>
        <textField/>
        <textField/>
        <textField/>
        <textField type="YMD"/>
        <textField type="YMD"/>
      </textFields>
    </textPr>
  </connection>
</connections>
</file>

<file path=xl/sharedStrings.xml><?xml version="1.0" encoding="utf-8"?>
<sst xmlns="http://schemas.openxmlformats.org/spreadsheetml/2006/main" count="1532" uniqueCount="468">
  <si>
    <t>category</t>
  </si>
  <si>
    <t>name</t>
  </si>
  <si>
    <t>description</t>
  </si>
  <si>
    <t>icon</t>
  </si>
  <si>
    <t>location</t>
  </si>
  <si>
    <t>price</t>
  </si>
  <si>
    <t>start_time</t>
  </si>
  <si>
    <t>end_time</t>
  </si>
  <si>
    <t>duration_hrs</t>
  </si>
  <si>
    <t>status</t>
  </si>
  <si>
    <t>featured</t>
  </si>
  <si>
    <t>Grange Booth Judging</t>
  </si>
  <si>
    <t>static/icons/events/logo.webp</t>
  </si>
  <si>
    <t>Grange Booth</t>
  </si>
  <si>
    <t>Free</t>
  </si>
  <si>
    <t>scheduled</t>
  </si>
  <si>
    <t>Open Class Food Judging</t>
  </si>
  <si>
    <t>Floral Hall</t>
  </si>
  <si>
    <t>Special of the Day Grange</t>
  </si>
  <si>
    <t>Grandstand</t>
  </si>
  <si>
    <t>NYS Harness Racing</t>
  </si>
  <si>
    <t>4-H Poultry Show</t>
  </si>
  <si>
    <t>4-H Building</t>
  </si>
  <si>
    <t>Open Flower Show Judging</t>
  </si>
  <si>
    <t>Opening Ceremonies</t>
  </si>
  <si>
    <t>Open Class Baked Food Sale</t>
  </si>
  <si>
    <t>James Draudt</t>
  </si>
  <si>
    <t>Guitar Solo</t>
  </si>
  <si>
    <t>Floral Hall Back Porch</t>
  </si>
  <si>
    <t>4-H Flower/Vegetable Judging</t>
  </si>
  <si>
    <t>NYS Sanctioned Horse Pull</t>
  </si>
  <si>
    <t>Open Vegetable Judging</t>
  </si>
  <si>
    <t>Grease Pole Qualifications</t>
  </si>
  <si>
    <t>Friar Tuck Band</t>
  </si>
  <si>
    <t>Entertainment Alley</t>
  </si>
  <si>
    <t>4-H Mini/Driving Horse Show</t>
  </si>
  <si>
    <t>4-H Goat Show</t>
  </si>
  <si>
    <t>Special of the Day Grange Booth</t>
  </si>
  <si>
    <t>Stockholder Meet &amp; Greet</t>
  </si>
  <si>
    <t>4-H Rabbit &amp; Cavy Show</t>
  </si>
  <si>
    <t>Spin to Win Wheel</t>
  </si>
  <si>
    <t>Commercial Building #1</t>
  </si>
  <si>
    <t xml:space="preserve">Innisfree Celtic Music Ensemble </t>
  </si>
  <si>
    <t>Music Ensemble</t>
  </si>
  <si>
    <t>Open Draft Horse Show</t>
  </si>
  <si>
    <t>Open Beef Showmanship</t>
  </si>
  <si>
    <t>Cattle Barn</t>
  </si>
  <si>
    <t>Open Beef Show</t>
  </si>
  <si>
    <t>Gladiolus Show Opens to Public</t>
  </si>
  <si>
    <t>Sensory Friendly Hours</t>
  </si>
  <si>
    <t>Sensory Tent</t>
  </si>
  <si>
    <t>CCE Day Activities</t>
  </si>
  <si>
    <t>4-H Dog Show</t>
  </si>
  <si>
    <t>Anthony Blood</t>
  </si>
  <si>
    <t>RIDES OPEN</t>
  </si>
  <si>
    <t>Midway</t>
  </si>
  <si>
    <t>Visit Ticket Booth</t>
  </si>
  <si>
    <t>CCE Board Meeting</t>
  </si>
  <si>
    <t>WC Fair Pie Contest Judging</t>
  </si>
  <si>
    <t>Empire State Pullers Tractor Pull</t>
  </si>
  <si>
    <t>$15/person</t>
  </si>
  <si>
    <t>Open Fruit Judging</t>
  </si>
  <si>
    <t>Pie Contest Auction</t>
  </si>
  <si>
    <t>Cruel Summer Band Tribute to Taylor Swift</t>
  </si>
  <si>
    <t>$6 Beer</t>
  </si>
  <si>
    <t>4-H English Horse Show</t>
  </si>
  <si>
    <t>Horse Stables</t>
  </si>
  <si>
    <t>4-H Dairy Cattle Show</t>
  </si>
  <si>
    <t>Egg Drop Contest</t>
  </si>
  <si>
    <t>Sheriff Child Safety Seat Check</t>
  </si>
  <si>
    <t>Special of the Day</t>
  </si>
  <si>
    <t>Open Fairy Garden Show Judging</t>
  </si>
  <si>
    <t>Youth Coloring Contest Royalty</t>
  </si>
  <si>
    <t>Ride Bracelet Special</t>
  </si>
  <si>
    <t>$25</t>
  </si>
  <si>
    <t>Watermelon Eating Contest</t>
  </si>
  <si>
    <t>Youth Corn Eatin' Competition</t>
  </si>
  <si>
    <t>4-H Beef Show</t>
  </si>
  <si>
    <t>Fairy Garden Show</t>
  </si>
  <si>
    <t>Open Rabbit/Cavy Show</t>
  </si>
  <si>
    <t>TBD</t>
  </si>
  <si>
    <t>Honey &amp; Vinegar</t>
  </si>
  <si>
    <t>Country Music</t>
  </si>
  <si>
    <t>Red 7 - Band</t>
  </si>
  <si>
    <t>Figure 8 Racing</t>
  </si>
  <si>
    <t>Claudia Hoyser - musician</t>
  </si>
  <si>
    <t>4-H Western Horse Show</t>
  </si>
  <si>
    <t>Chicken BBQ Grange Booth</t>
  </si>
  <si>
    <t>4-H and Open Sheep Show</t>
  </si>
  <si>
    <t>4-H and Open Swine Show</t>
  </si>
  <si>
    <t>Our Tasting Event</t>
  </si>
  <si>
    <t>$15</t>
  </si>
  <si>
    <t>Dave Turner</t>
  </si>
  <si>
    <t>Celebrity Goat Milking Contest</t>
  </si>
  <si>
    <t>Wayne County Fair Rodeo Branding</t>
  </si>
  <si>
    <t>Beat the Beast Bull Riders Tour</t>
  </si>
  <si>
    <t>Zac Brown Tribute Band ZBTB</t>
  </si>
  <si>
    <t>Open Dairy Show</t>
  </si>
  <si>
    <t>4-H Gymkhana Horse Show</t>
  </si>
  <si>
    <t>Open Dahlia Show Judging</t>
  </si>
  <si>
    <t>4-H Milk &amp; Cookie Contest</t>
  </si>
  <si>
    <t>Wayne County Fair Open Barrel Racing</t>
  </si>
  <si>
    <t>Wayne County Sheriff K-9 Demo</t>
  </si>
  <si>
    <t xml:space="preserve">Andrew Young </t>
  </si>
  <si>
    <t>4-H Livestock Auction</t>
  </si>
  <si>
    <t>Open Gaming Horse Show</t>
  </si>
  <si>
    <t>Round/Square Dancing-Dave Jacobs</t>
  </si>
  <si>
    <t>Demolition Derby</t>
  </si>
  <si>
    <t>M80s Band</t>
  </si>
  <si>
    <t>Talent Showcase Contest</t>
  </si>
  <si>
    <t>Open Dressage Horse Show</t>
  </si>
  <si>
    <t>Open Dairy Goat Show</t>
  </si>
  <si>
    <t>Central NY Garden Tractor Pull</t>
  </si>
  <si>
    <t>4-H Large Animal Super Showmanship</t>
  </si>
  <si>
    <t>Chicken BBQ</t>
  </si>
  <si>
    <t>Veggie Races</t>
  </si>
  <si>
    <t>$25/person</t>
  </si>
  <si>
    <t>Wayne Community Band Concert</t>
  </si>
  <si>
    <t>4-H Small Animal Super Showmanship</t>
  </si>
  <si>
    <t>Mullet &amp; Facial Hair Competition</t>
  </si>
  <si>
    <t>Wayne County Fair Parade</t>
  </si>
  <si>
    <t>Main Street to Fair</t>
  </si>
  <si>
    <t xml:space="preserve">Davey Allen </t>
  </si>
  <si>
    <t>Open Miniature Horse Show</t>
  </si>
  <si>
    <t>Adult Corn Eatin' Competition</t>
  </si>
  <si>
    <t>Black Cat Hell Driver Stunt Show</t>
  </si>
  <si>
    <t>State Line - Band</t>
  </si>
  <si>
    <t>Pleasure /Trail Open Horse Show</t>
  </si>
  <si>
    <t>Open Meat Goat Show</t>
  </si>
  <si>
    <t>4-H Costume Class</t>
  </si>
  <si>
    <t>Youth Pedal Tractor Pull</t>
  </si>
  <si>
    <t>4-H Herdsmanship Award</t>
  </si>
  <si>
    <t>Bed Races</t>
  </si>
  <si>
    <t>Worthy Duncan</t>
  </si>
  <si>
    <t>Grease Pole Finals</t>
  </si>
  <si>
    <t>All Animal Exhibits Close</t>
  </si>
  <si>
    <t>Animal, Flower, Fruit &amp; Vegetable Exhibits</t>
  </si>
  <si>
    <t>Home Arts Department Exhibits</t>
  </si>
  <si>
    <t>Floral Hall Annex</t>
  </si>
  <si>
    <t>4-H Youth Building Exhibits &amp; Crafts</t>
  </si>
  <si>
    <t>Wayne County Sheriff Operation Safe Child</t>
  </si>
  <si>
    <t>Child IDs</t>
  </si>
  <si>
    <t>Beer Garden Open</t>
  </si>
  <si>
    <t>ID and wrist strap required</t>
  </si>
  <si>
    <t xml:space="preserve">Horse Drawn Wagon Rides </t>
  </si>
  <si>
    <t>Main Gate</t>
  </si>
  <si>
    <t>The Flying Wallendas Aerial Act</t>
  </si>
  <si>
    <t>changed</t>
  </si>
  <si>
    <t>Example Cancelled Event</t>
  </si>
  <si>
    <t>cancelled</t>
  </si>
  <si>
    <t>judging</t>
  </si>
  <si>
    <t>general</t>
  </si>
  <si>
    <t>grandstand</t>
  </si>
  <si>
    <t>show</t>
  </si>
  <si>
    <t>ceremony</t>
  </si>
  <si>
    <t>sale</t>
  </si>
  <si>
    <t>music</t>
  </si>
  <si>
    <t>contest</t>
  </si>
  <si>
    <t>meeting</t>
  </si>
  <si>
    <t>game</t>
  </si>
  <si>
    <t>exhibit</t>
  </si>
  <si>
    <t>activities</t>
  </si>
  <si>
    <t>rides</t>
  </si>
  <si>
    <t>auction</t>
  </si>
  <si>
    <t>safety</t>
  </si>
  <si>
    <t>food</t>
  </si>
  <si>
    <t>event</t>
  </si>
  <si>
    <t>demo</t>
  </si>
  <si>
    <t>dance</t>
  </si>
  <si>
    <t>parade</t>
  </si>
  <si>
    <t>award</t>
  </si>
  <si>
    <t>tier</t>
  </si>
  <si>
    <t>A-Verdi</t>
  </si>
  <si>
    <t>Storage Containers</t>
  </si>
  <si>
    <t xml:space="preserve">ADMAR </t>
  </si>
  <si>
    <t>Construction Equipment and Supplies</t>
  </si>
  <si>
    <t>ALPCO Recycling</t>
  </si>
  <si>
    <t>Recycling and Waste Disposal</t>
  </si>
  <si>
    <t>Fusion Digital</t>
  </si>
  <si>
    <t>Long Construction</t>
  </si>
  <si>
    <t>Macedon Auto</t>
  </si>
  <si>
    <t>Wayne County</t>
  </si>
  <si>
    <t>LNB Bank</t>
  </si>
  <si>
    <t>Brooks Enterprise</t>
  </si>
  <si>
    <t>Eastern Shore Insurance</t>
  </si>
  <si>
    <t>Waste Management</t>
  </si>
  <si>
    <t>Pepsico</t>
  </si>
  <si>
    <t>AP Enterprises</t>
  </si>
  <si>
    <t>American Equipment LLC</t>
  </si>
  <si>
    <t>LaMarti's Repair</t>
  </si>
  <si>
    <t>John S. Blazey Inc.</t>
  </si>
  <si>
    <t>Farm Credit East</t>
  </si>
  <si>
    <t>Fine Line Property Maintenance</t>
  </si>
  <si>
    <t>Genesee Valley Pennysaver</t>
  </si>
  <si>
    <t>Great Lakes Equipment</t>
  </si>
  <si>
    <t>Hadley's Fab-Weld</t>
  </si>
  <si>
    <t>Heritage Structures</t>
  </si>
  <si>
    <t>K&amp;D Disposal</t>
  </si>
  <si>
    <t>LandPRO Equipment</t>
  </si>
  <si>
    <t>Mark's Pizzeria</t>
  </si>
  <si>
    <t xml:space="preserve">McCarthy Tents &amp; Events </t>
  </si>
  <si>
    <t>Motts Foods</t>
  </si>
  <si>
    <t>Farm Bureau New York</t>
  </si>
  <si>
    <t>Q's Power Equipment</t>
  </si>
  <si>
    <t>Superior Plus Energy Services</t>
  </si>
  <si>
    <t>TK Autoworks</t>
  </si>
  <si>
    <t>T-Mobile</t>
  </si>
  <si>
    <t>Tractor Supply Co.</t>
  </si>
  <si>
    <t>Vermi-Green LLC</t>
  </si>
  <si>
    <t>Property Service</t>
  </si>
  <si>
    <t>Automotive Repair</t>
  </si>
  <si>
    <t>Banking</t>
  </si>
  <si>
    <t>Lawn and Agriculture Equipment</t>
  </si>
  <si>
    <t>Landscaping and Construction</t>
  </si>
  <si>
    <t>Insurance Services</t>
  </si>
  <si>
    <t>Financial Services</t>
  </si>
  <si>
    <t>Finger Lakes Ambulance</t>
  </si>
  <si>
    <t>Emergency Services</t>
  </si>
  <si>
    <t>Computer and AV Services</t>
  </si>
  <si>
    <t>Publication</t>
  </si>
  <si>
    <t>Agriculture Equipment</t>
  </si>
  <si>
    <t>Metal Services</t>
  </si>
  <si>
    <t>Construction Services</t>
  </si>
  <si>
    <t xml:space="preserve">Restaurant </t>
  </si>
  <si>
    <t>Party Rental</t>
  </si>
  <si>
    <t>Food Processing</t>
  </si>
  <si>
    <t>Energy Services</t>
  </si>
  <si>
    <t>Communication Services</t>
  </si>
  <si>
    <t>Farm Supply</t>
  </si>
  <si>
    <t>Agriculture Products</t>
  </si>
  <si>
    <t>Government</t>
  </si>
  <si>
    <t>Equipment Rental</t>
  </si>
  <si>
    <t xml:space="preserve">Pace Electronics </t>
  </si>
  <si>
    <t>Electronics Manufacturing</t>
  </si>
  <si>
    <t>sponsor/a_verdi.webp</t>
  </si>
  <si>
    <t>sponsor/admar.webp</t>
  </si>
  <si>
    <t>sponsor/alpco.webp</t>
  </si>
  <si>
    <t>sponsor/american_equipment.webp</t>
  </si>
  <si>
    <t>sponsor/ap_enterprises.webp</t>
  </si>
  <si>
    <t>sponsor/auto_diesel.webp</t>
  </si>
  <si>
    <t>sponsor/bankwithlbn-logo.webp</t>
  </si>
  <si>
    <t>sponsor/blazey.webp</t>
  </si>
  <si>
    <t>sponsor/brooksenterprise.webp</t>
  </si>
  <si>
    <t>sponsor/eastern_shore.webp</t>
  </si>
  <si>
    <t>sponsor/farm_credit.webp</t>
  </si>
  <si>
    <t>sponsor/fineline.webp</t>
  </si>
  <si>
    <t>sponsor/finger_lakes_ambulance.webp</t>
  </si>
  <si>
    <t>sponsor/fusion_digital.webp</t>
  </si>
  <si>
    <t>sponsor/genesee_valley.webp</t>
  </si>
  <si>
    <t>sponsor/great_lakes.webp</t>
  </si>
  <si>
    <t>sponsor/hadleys.webp</t>
  </si>
  <si>
    <t>sponsor/heritage.webp</t>
  </si>
  <si>
    <t>sponsor/kd_disposal.webp</t>
  </si>
  <si>
    <t>sponsor/landpro.webp</t>
  </si>
  <si>
    <t>sponsor/long_construction.webp</t>
  </si>
  <si>
    <t>sponsor/macedon_auto.webp</t>
  </si>
  <si>
    <t>sponsor/marks.webp</t>
  </si>
  <si>
    <t>sponsor/mccarthy.webp</t>
  </si>
  <si>
    <t>sponsor/motts.webp</t>
  </si>
  <si>
    <t>sponsor/ny_farm_bureau.webp</t>
  </si>
  <si>
    <t>sponsor/pace.webp</t>
  </si>
  <si>
    <t>sponsor/pepsico.webp</t>
  </si>
  <si>
    <t>sponsor/qs_power.webp</t>
  </si>
  <si>
    <t>sponsor/superior_plus.webp</t>
  </si>
  <si>
    <t>sponsor/tk_auto.webp</t>
  </si>
  <si>
    <t>sponsor/tmobile.webp</t>
  </si>
  <si>
    <t>sponsor/tractor_supply.webp</t>
  </si>
  <si>
    <t>sponsor/vermi_green.webp</t>
  </si>
  <si>
    <t>sponsor/waste_mgmt.webp</t>
  </si>
  <si>
    <t>sponsor/wayne_county.webp</t>
  </si>
  <si>
    <t>Blue Ribbon Sponsor</t>
  </si>
  <si>
    <t>Point</t>
  </si>
  <si>
    <t>midway</t>
  </si>
  <si>
    <t>entertainment</t>
  </si>
  <si>
    <t>commercial</t>
  </si>
  <si>
    <t>history</t>
  </si>
  <si>
    <t>floral</t>
  </si>
  <si>
    <t>gate</t>
  </si>
  <si>
    <t>4h</t>
  </si>
  <si>
    <t>livestock</t>
  </si>
  <si>
    <t>cattle</t>
  </si>
  <si>
    <t>H Pos</t>
  </si>
  <si>
    <t>V Pos</t>
  </si>
  <si>
    <t>Height</t>
  </si>
  <si>
    <t>Width</t>
  </si>
  <si>
    <t>map</t>
  </si>
  <si>
    <t>left</t>
  </si>
  <si>
    <t>top</t>
  </si>
  <si>
    <t>width</t>
  </si>
  <si>
    <t>height</t>
  </si>
  <si>
    <t>Map Points of Interest</t>
  </si>
  <si>
    <t>ring</t>
  </si>
  <si>
    <t>Level</t>
  </si>
  <si>
    <t>Description</t>
  </si>
  <si>
    <t>Alpco Recycling</t>
  </si>
  <si>
    <t>Admar</t>
  </si>
  <si>
    <t>Casella Waste Systems</t>
  </si>
  <si>
    <t>Waste and Recycling services</t>
  </si>
  <si>
    <t>Fine Line Landscaping</t>
  </si>
  <si>
    <t>Property Services</t>
  </si>
  <si>
    <t>Blue Ribbon</t>
  </si>
  <si>
    <t>Information Technology and Audio Visual Solutions</t>
  </si>
  <si>
    <t>Local Community Publication</t>
  </si>
  <si>
    <t>Hadley's Fab Weld</t>
  </si>
  <si>
    <t>Mercy Flight Inc</t>
  </si>
  <si>
    <t>Air Ambulance Transport Services</t>
  </si>
  <si>
    <t>OPWDD-NYS</t>
  </si>
  <si>
    <t>Superior Plus Propane</t>
  </si>
  <si>
    <t>Vermigreen</t>
  </si>
  <si>
    <t>Compost and Topsoil</t>
  </si>
  <si>
    <t>Lettering Lounge</t>
  </si>
  <si>
    <t>Cusom signs and Graphics</t>
  </si>
  <si>
    <t>A-Verdi Storage</t>
  </si>
  <si>
    <t>Bobcat of the Fingerlakes</t>
  </si>
  <si>
    <t>Brooke's Enterprises</t>
  </si>
  <si>
    <t>Landscaping Company</t>
  </si>
  <si>
    <t>Eastern Shore Insurance Agency</t>
  </si>
  <si>
    <t>John S. Blazey</t>
  </si>
  <si>
    <t>Kubota Dealer</t>
  </si>
  <si>
    <t>Beverage and Food Processing</t>
  </si>
  <si>
    <t>KM Exavating</t>
  </si>
  <si>
    <t>LaMarti's Auto &amp; Diesel Repair</t>
  </si>
  <si>
    <t>Truck and Auto Repair</t>
  </si>
  <si>
    <t>LandPro</t>
  </si>
  <si>
    <t>Agricultural Equipment</t>
  </si>
  <si>
    <t>Long Construction LLC</t>
  </si>
  <si>
    <t>Lyons National Bank</t>
  </si>
  <si>
    <t>McCarthy Tent and Rentals/Nolans Rentals</t>
  </si>
  <si>
    <t>Party Rentals</t>
  </si>
  <si>
    <t>Morrisey Farms</t>
  </si>
  <si>
    <t>Local Agriculture Production</t>
  </si>
  <si>
    <t>MVP Healthcare</t>
  </si>
  <si>
    <t>Healthcare Services</t>
  </si>
  <si>
    <t>Pace Electronics</t>
  </si>
  <si>
    <t>Pal-Mac Service Center</t>
  </si>
  <si>
    <t>Pepsi</t>
  </si>
  <si>
    <t>Spectrum</t>
  </si>
  <si>
    <t>Internet Services</t>
  </si>
  <si>
    <t>T Mobile</t>
  </si>
  <si>
    <t>Tractor Supply</t>
  </si>
  <si>
    <t>Valpak</t>
  </si>
  <si>
    <t>Advertising and Coupons</t>
  </si>
  <si>
    <t>Wayne County Farm Bureau</t>
  </si>
  <si>
    <t>Agricultural Support</t>
  </si>
  <si>
    <t>Meyers RV</t>
  </si>
  <si>
    <t>Show Sponsor</t>
  </si>
  <si>
    <t>Recreational Vehicles</t>
  </si>
  <si>
    <t>4 Paws Canalside Grooming</t>
  </si>
  <si>
    <t>Pet Grooming Services</t>
  </si>
  <si>
    <t>All American Equipment</t>
  </si>
  <si>
    <t>Farm and Construction Equipment</t>
  </si>
  <si>
    <t>Anna Booth Waffles</t>
  </si>
  <si>
    <t>Sugar Waffles</t>
  </si>
  <si>
    <t>Restaurant</t>
  </si>
  <si>
    <t>Brad Jacobs Masonry</t>
  </si>
  <si>
    <t>Residential and Commercial Masonry</t>
  </si>
  <si>
    <t>Bushhog II Mowing</t>
  </si>
  <si>
    <t>Vegetation Management</t>
  </si>
  <si>
    <t>Carpet Spectrum</t>
  </si>
  <si>
    <t>Flooring Sales and Installation</t>
  </si>
  <si>
    <t>Carter Gray Agency</t>
  </si>
  <si>
    <t>Community Bank</t>
  </si>
  <si>
    <t>Banking Services</t>
  </si>
  <si>
    <t>Glovers Crossing Farms</t>
  </si>
  <si>
    <t>Local Agricultural Production</t>
  </si>
  <si>
    <t>JD Chapman Insurance</t>
  </si>
  <si>
    <t>Jennifer Evans</t>
  </si>
  <si>
    <t>Friend of the Fair</t>
  </si>
  <si>
    <t>JLS Accounting</t>
  </si>
  <si>
    <t>Accounting Services</t>
  </si>
  <si>
    <t>Kevin and Ann Evans</t>
  </si>
  <si>
    <t>Konstantinou's Restaurant</t>
  </si>
  <si>
    <t>L Robbins Photography</t>
  </si>
  <si>
    <t>Photographic Services</t>
  </si>
  <si>
    <t>Lake Beverage</t>
  </si>
  <si>
    <t>Beverage Distributor</t>
  </si>
  <si>
    <t>Long Acre Farms</t>
  </si>
  <si>
    <t>Corn Maze, Winery and More</t>
  </si>
  <si>
    <t>Macedon Auto Center</t>
  </si>
  <si>
    <t>Macedon Collision</t>
  </si>
  <si>
    <t>Morgan McTighe</t>
  </si>
  <si>
    <t>NWE Events</t>
  </si>
  <si>
    <t>Event Coordination Services</t>
  </si>
  <si>
    <t>Agricultural Supplies</t>
  </si>
  <si>
    <t>Quigley's Concrete</t>
  </si>
  <si>
    <t>Concrete Patios and sidewalks</t>
  </si>
  <si>
    <t>Reliant Federal Credit Union</t>
  </si>
  <si>
    <t>Vans Auction Service</t>
  </si>
  <si>
    <t>Auction Services</t>
  </si>
  <si>
    <t>Web Trailer Inc.</t>
  </si>
  <si>
    <t>Trailer Manufacturing and Repair</t>
  </si>
  <si>
    <t>Metal Work Services</t>
  </si>
  <si>
    <t>Custom Sheds and More</t>
  </si>
  <si>
    <t>Construction Equipment</t>
  </si>
  <si>
    <t>Excavation Services</t>
  </si>
  <si>
    <t>Waste Management and Recycling Services</t>
  </si>
  <si>
    <t>Automotive Services</t>
  </si>
  <si>
    <t>Developmental Disability Services</t>
  </si>
  <si>
    <t>Red Ribbon</t>
  </si>
  <si>
    <t xml:space="preserve">Grand Champion </t>
  </si>
  <si>
    <t>Keurig/Dr. Pepper (Motts)</t>
  </si>
  <si>
    <t>Order</t>
  </si>
  <si>
    <t>/static/icons/sponsor/a_verdi.webp</t>
  </si>
  <si>
    <t>/static/icons/sponsor/admar.webp</t>
  </si>
  <si>
    <t>/static/icons/sponsor/alpco.webp</t>
  </si>
  <si>
    <t>/static/icons/sponsor/brooksenterprise.webp</t>
  </si>
  <si>
    <t>/static/icons/sponsor/eastern_shore.webp</t>
  </si>
  <si>
    <t>/static/icons/sponsor/ny_farm_bureau.webp</t>
  </si>
  <si>
    <t>/static/icons/sponsor/farm_credit.webp</t>
  </si>
  <si>
    <t>/static/icons/sponsor/fineline.webp</t>
  </si>
  <si>
    <t>/static/icons/sponsor/fusion_digital.webp</t>
  </si>
  <si>
    <t>/static/icons/sponsor/genesee_valley.webp</t>
  </si>
  <si>
    <t>/static/icons/sponsor/hadleys.webp</t>
  </si>
  <si>
    <t>/static/icons/sponsor/heritage.webp</t>
  </si>
  <si>
    <t>/static/icons/sponsor/blazey.webp</t>
  </si>
  <si>
    <t>/static/icons/sponsor/auto_diesel.webp</t>
  </si>
  <si>
    <t>/static/icons/sponsor/landpro.webp</t>
  </si>
  <si>
    <t>/static/icons/sponsor/bankwithlbn-logo.webp</t>
  </si>
  <si>
    <t>/static/icons/sponsor/long_construction.webp</t>
  </si>
  <si>
    <t>/static/icons/sponsor/macedon_auto.webp</t>
  </si>
  <si>
    <t>/static/icons/sponsor/marks.webp</t>
  </si>
  <si>
    <t>/static/icons/sponsor/mccarthy.webp</t>
  </si>
  <si>
    <t>/static/icons/sponsor/motts.webp</t>
  </si>
  <si>
    <t>/static/icons/sponsor/pace.webp</t>
  </si>
  <si>
    <t>/static/icons/sponsor/pepsico.webp</t>
  </si>
  <si>
    <t>/static/icons/sponsor/superior_plus.webp</t>
  </si>
  <si>
    <t>/static/icons/sponsor/tmobile.webp</t>
  </si>
  <si>
    <t>/static/icons/sponsor/tk_auto.webp</t>
  </si>
  <si>
    <t>/static/icons/sponsor/tractor_supply.webp</t>
  </si>
  <si>
    <t>/static/icons/sponsor/vermi_green.webp</t>
  </si>
  <si>
    <t>/static/icons/sponsor/waste_mgmt.webp</t>
  </si>
  <si>
    <t>Bill Gray's</t>
  </si>
  <si>
    <t>/static/icons/sponsor/all_american_equipment.webp</t>
  </si>
  <si>
    <t>/static/icons/sponsor/community_bank.webp</t>
  </si>
  <si>
    <t>/static/icons/sponsor/lake_beverage.webp</t>
  </si>
  <si>
    <t>/static/icons/sponsor/bill_grays.webp</t>
  </si>
  <si>
    <t>/static/icons/sponsor/bobcat.webp</t>
  </si>
  <si>
    <t>/static/icons/sponsor/casella.webp</t>
  </si>
  <si>
    <t>/static/icons/sponsor/km_excavating.webp</t>
  </si>
  <si>
    <t>/static/icons/sponsor/l_robbins.webp</t>
  </si>
  <si>
    <t>/static/icons/sponsor/lettering_lounge.webp</t>
  </si>
  <si>
    <t>/static/icons/sponsor/mercy_flight.webp</t>
  </si>
  <si>
    <t>/static/icons/sponsor/meyers_rv.webp</t>
  </si>
  <si>
    <t>/static/icons/sponsor/opwdd.webp</t>
  </si>
  <si>
    <t>/static/icons/sponsor/reliant.webp</t>
  </si>
  <si>
    <t>/static/icons/sponsor/vans.webp</t>
  </si>
  <si>
    <t>/static/icons/sponsor/pal_mac_service.webp</t>
  </si>
  <si>
    <t>/static/icons/sponsor/pine_creek.webp</t>
  </si>
  <si>
    <t>Pine Creek Farm &amp; Feed</t>
  </si>
  <si>
    <t>/static/icons/sponsor/spectrum.webp</t>
  </si>
  <si>
    <t>/static/icons/sponsor/valpak.webp</t>
  </si>
  <si>
    <t>JemStar Construction</t>
  </si>
  <si>
    <t>/static/icons/fair.webp</t>
  </si>
  <si>
    <t>/static/icons/sponsor/konst_rest.webp</t>
  </si>
  <si>
    <t>/static/icons/sponsor/jemstar.webp</t>
  </si>
  <si>
    <t>/static/icons/sponsor/chapman.webp</t>
  </si>
  <si>
    <t>/static/icons/sponsor/brad_jacobs.webp</t>
  </si>
  <si>
    <t>/static/icons/sponsor/carter_gray.webp</t>
  </si>
  <si>
    <t>/static/icons/sponsor/long_acre.webp</t>
  </si>
  <si>
    <t>/static/icons/sponsor/carpet.webp</t>
  </si>
  <si>
    <t>/static/icons/sponsor/morrisey.webp</t>
  </si>
  <si>
    <t>/static/icons/sponsor/quigley.webp</t>
  </si>
  <si>
    <t>/static/icons/sponsor/four_paws.webp</t>
  </si>
  <si>
    <t>Name</t>
  </si>
  <si>
    <t>/static/icons/sponsor/mvp_health.webp</t>
  </si>
  <si>
    <t>infield</t>
  </si>
  <si>
    <t>weekly</t>
  </si>
  <si>
    <t>barn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</si>
</sst>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Fill="1" applyBorder="1"/>
    <xf numFmtId="49" fontId="2" fillId="0" borderId="0" xfId="1" applyNumberFormat="1" applyFont="1" applyFill="1" applyBorder="1"/>
    <xf numFmtId="164" fontId="2" fillId="0" borderId="0" xfId="0" applyNumberFormat="1" applyFont="1" applyFill="1" applyBorder="1"/>
    <xf numFmtId="8" fontId="2" fillId="0" borderId="0" xfId="0" applyNumberFormat="1" applyFont="1" applyFill="1" applyBorder="1"/>
    <xf numFmtId="0" fontId="3" fillId="0" borderId="0" xfId="0" applyFont="1" applyFill="1" applyBorder="1"/>
    <xf numFmtId="2" fontId="0" fillId="0" borderId="0" xfId="0" applyNumberFormat="1"/>
    <xf numFmtId="0" fontId="4" fillId="0" borderId="0" xfId="0" applyFont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event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6"/>
  <sheetViews>
    <sheetView workbookViewId="0">
      <selection activeCell="M6" sqref="M6"/>
    </sheetView>
  </sheetViews>
  <sheetFormatPr defaultRowHeight="15" x14ac:dyDescent="0.25"/>
  <cols>
    <col min="1" max="1" width="13.42578125" style="1" customWidth="1"/>
    <col min="2" max="2" width="33.7109375" style="1" customWidth="1"/>
    <col min="3" max="3" width="18" style="1" customWidth="1"/>
    <col min="4" max="4" width="30.140625" style="1" customWidth="1"/>
    <col min="5" max="5" width="23.7109375" style="1" customWidth="1"/>
    <col min="6" max="6" width="17.85546875" style="2" customWidth="1"/>
    <col min="7" max="7" width="21.85546875" style="1" customWidth="1"/>
    <col min="8" max="8" width="21.42578125" style="1" customWidth="1"/>
    <col min="9" max="9" width="13.28515625" style="1" customWidth="1"/>
    <col min="10" max="10" width="13" style="1" customWidth="1"/>
    <col min="11" max="11" width="9.140625" style="1" customWidth="1"/>
    <col min="12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150</v>
      </c>
      <c r="B2" s="1" t="s">
        <v>11</v>
      </c>
      <c r="D2" s="1" t="s">
        <v>12</v>
      </c>
      <c r="E2" s="1" t="s">
        <v>13</v>
      </c>
      <c r="F2" s="2" t="s">
        <v>14</v>
      </c>
      <c r="G2" s="3">
        <v>46244.416666666664</v>
      </c>
      <c r="H2" s="3">
        <v>46244.458333333328</v>
      </c>
      <c r="I2" s="1">
        <v>1</v>
      </c>
      <c r="J2" s="1" t="s">
        <v>15</v>
      </c>
      <c r="K2" s="1">
        <v>0</v>
      </c>
    </row>
    <row r="3" spans="1:11" x14ac:dyDescent="0.25">
      <c r="A3" s="1" t="s">
        <v>150</v>
      </c>
      <c r="B3" s="1" t="s">
        <v>16</v>
      </c>
      <c r="D3" s="1" t="s">
        <v>12</v>
      </c>
      <c r="E3" s="1" t="s">
        <v>17</v>
      </c>
      <c r="F3" s="2" t="s">
        <v>14</v>
      </c>
      <c r="G3" s="3">
        <v>46244.458333333336</v>
      </c>
      <c r="H3" s="3">
        <v>46244.5</v>
      </c>
      <c r="I3" s="1">
        <v>1</v>
      </c>
      <c r="J3" s="1" t="s">
        <v>15</v>
      </c>
      <c r="K3" s="1">
        <v>0</v>
      </c>
    </row>
    <row r="4" spans="1:11" x14ac:dyDescent="0.25">
      <c r="A4" s="1" t="s">
        <v>151</v>
      </c>
      <c r="B4" s="1" t="s">
        <v>18</v>
      </c>
      <c r="D4" s="1" t="s">
        <v>12</v>
      </c>
      <c r="E4" s="1" t="s">
        <v>13</v>
      </c>
      <c r="F4" s="2" t="s">
        <v>14</v>
      </c>
      <c r="G4" s="3">
        <v>46244.5</v>
      </c>
      <c r="H4" s="3">
        <v>46244.666666666664</v>
      </c>
      <c r="I4" s="1">
        <v>4</v>
      </c>
      <c r="J4" s="1" t="s">
        <v>15</v>
      </c>
      <c r="K4" s="1">
        <v>0</v>
      </c>
    </row>
    <row r="5" spans="1:11" x14ac:dyDescent="0.25">
      <c r="A5" s="1" t="s">
        <v>152</v>
      </c>
      <c r="B5" s="1" t="s">
        <v>20</v>
      </c>
      <c r="D5" s="1" t="s">
        <v>12</v>
      </c>
      <c r="E5" s="1" t="s">
        <v>19</v>
      </c>
      <c r="F5" s="2" t="s">
        <v>14</v>
      </c>
      <c r="G5" s="3">
        <v>46244.5</v>
      </c>
      <c r="H5" s="3">
        <v>46244.541666666664</v>
      </c>
      <c r="I5" s="1">
        <v>1</v>
      </c>
      <c r="J5" s="1" t="s">
        <v>15</v>
      </c>
      <c r="K5" s="1">
        <v>0</v>
      </c>
    </row>
    <row r="6" spans="1:11" x14ac:dyDescent="0.25">
      <c r="A6" s="1" t="s">
        <v>153</v>
      </c>
      <c r="B6" s="1" t="s">
        <v>21</v>
      </c>
      <c r="D6" s="1" t="s">
        <v>12</v>
      </c>
      <c r="E6" s="1" t="s">
        <v>22</v>
      </c>
      <c r="F6" s="2" t="s">
        <v>14</v>
      </c>
      <c r="G6" s="3">
        <v>46244.5</v>
      </c>
      <c r="H6" s="3">
        <v>46244.541666666664</v>
      </c>
      <c r="I6" s="1">
        <v>1</v>
      </c>
      <c r="J6" s="1" t="s">
        <v>15</v>
      </c>
      <c r="K6" s="1">
        <v>0</v>
      </c>
    </row>
    <row r="7" spans="1:11" x14ac:dyDescent="0.25">
      <c r="A7" s="1" t="s">
        <v>150</v>
      </c>
      <c r="B7" s="1" t="s">
        <v>23</v>
      </c>
      <c r="D7" s="1" t="s">
        <v>12</v>
      </c>
      <c r="E7" s="1" t="s">
        <v>17</v>
      </c>
      <c r="F7" s="2" t="s">
        <v>14</v>
      </c>
      <c r="G7" s="3">
        <v>46244.5</v>
      </c>
      <c r="H7" s="3">
        <v>46244.541666666664</v>
      </c>
      <c r="I7" s="1">
        <v>1</v>
      </c>
      <c r="J7" s="1" t="s">
        <v>15</v>
      </c>
      <c r="K7" s="1">
        <v>0</v>
      </c>
    </row>
    <row r="8" spans="1:11" x14ac:dyDescent="0.25">
      <c r="A8" s="1" t="s">
        <v>154</v>
      </c>
      <c r="B8" s="1" t="s">
        <v>24</v>
      </c>
      <c r="D8" s="1" t="s">
        <v>12</v>
      </c>
      <c r="E8" s="1" t="s">
        <v>17</v>
      </c>
      <c r="F8" s="2" t="s">
        <v>14</v>
      </c>
      <c r="G8" s="3">
        <v>46244.541666666664</v>
      </c>
      <c r="H8" s="3">
        <v>46244.583333333328</v>
      </c>
      <c r="I8" s="1">
        <v>1</v>
      </c>
      <c r="J8" s="1" t="s">
        <v>15</v>
      </c>
      <c r="K8" s="1">
        <v>0</v>
      </c>
    </row>
    <row r="9" spans="1:11" x14ac:dyDescent="0.25">
      <c r="A9" s="1" t="s">
        <v>155</v>
      </c>
      <c r="B9" s="1" t="s">
        <v>25</v>
      </c>
      <c r="D9" s="1" t="s">
        <v>12</v>
      </c>
      <c r="E9" s="1" t="s">
        <v>17</v>
      </c>
      <c r="F9" s="2" t="s">
        <v>14</v>
      </c>
      <c r="G9" s="3">
        <v>46244.583333333336</v>
      </c>
      <c r="H9" s="3">
        <v>46244.75</v>
      </c>
      <c r="I9" s="1">
        <v>4</v>
      </c>
      <c r="J9" s="1" t="s">
        <v>15</v>
      </c>
      <c r="K9" s="1">
        <v>0</v>
      </c>
    </row>
    <row r="10" spans="1:11" x14ac:dyDescent="0.25">
      <c r="A10" s="1" t="s">
        <v>156</v>
      </c>
      <c r="B10" s="1" t="s">
        <v>26</v>
      </c>
      <c r="C10" s="1" t="s">
        <v>27</v>
      </c>
      <c r="D10" s="1" t="s">
        <v>12</v>
      </c>
      <c r="E10" s="1" t="s">
        <v>28</v>
      </c>
      <c r="F10" s="2" t="s">
        <v>14</v>
      </c>
      <c r="G10" s="3">
        <v>46244.708333333336</v>
      </c>
      <c r="H10" s="3">
        <v>46244.791666666672</v>
      </c>
      <c r="I10" s="1">
        <v>2</v>
      </c>
      <c r="J10" s="1" t="s">
        <v>15</v>
      </c>
      <c r="K10" s="1">
        <v>0</v>
      </c>
    </row>
    <row r="11" spans="1:11" x14ac:dyDescent="0.25">
      <c r="A11" s="1" t="s">
        <v>150</v>
      </c>
      <c r="B11" s="1" t="s">
        <v>29</v>
      </c>
      <c r="D11" s="1" t="s">
        <v>12</v>
      </c>
      <c r="E11" s="1" t="s">
        <v>22</v>
      </c>
      <c r="F11" s="2" t="s">
        <v>14</v>
      </c>
      <c r="G11" s="3">
        <v>46244.708333333336</v>
      </c>
      <c r="H11" s="3">
        <v>46244.770833333336</v>
      </c>
      <c r="I11" s="1">
        <v>1.5</v>
      </c>
      <c r="J11" s="1" t="s">
        <v>15</v>
      </c>
      <c r="K11" s="1">
        <v>0</v>
      </c>
    </row>
    <row r="12" spans="1:11" x14ac:dyDescent="0.25">
      <c r="A12" s="1" t="s">
        <v>152</v>
      </c>
      <c r="B12" s="1" t="s">
        <v>30</v>
      </c>
      <c r="D12" s="1" t="s">
        <v>12</v>
      </c>
      <c r="E12" s="1" t="s">
        <v>19</v>
      </c>
      <c r="F12" s="2" t="s">
        <v>14</v>
      </c>
      <c r="G12" s="3">
        <v>46244.729166666664</v>
      </c>
      <c r="H12" s="3">
        <v>46244.791666666664</v>
      </c>
      <c r="I12" s="1">
        <v>1.5</v>
      </c>
      <c r="J12" s="1" t="s">
        <v>15</v>
      </c>
      <c r="K12" s="1">
        <v>0</v>
      </c>
    </row>
    <row r="13" spans="1:11" x14ac:dyDescent="0.25">
      <c r="A13" s="1" t="s">
        <v>150</v>
      </c>
      <c r="B13" s="1" t="s">
        <v>31</v>
      </c>
      <c r="D13" s="1" t="s">
        <v>12</v>
      </c>
      <c r="E13" s="1" t="s">
        <v>17</v>
      </c>
      <c r="F13" s="2" t="s">
        <v>14</v>
      </c>
      <c r="G13" s="3">
        <v>46244.791666666664</v>
      </c>
      <c r="H13" s="3">
        <v>46244.833333333328</v>
      </c>
      <c r="I13" s="1">
        <v>1</v>
      </c>
      <c r="J13" s="1" t="s">
        <v>15</v>
      </c>
      <c r="K13" s="1">
        <v>0</v>
      </c>
    </row>
    <row r="14" spans="1:11" x14ac:dyDescent="0.25">
      <c r="A14" s="1" t="s">
        <v>157</v>
      </c>
      <c r="B14" s="1" t="s">
        <v>32</v>
      </c>
      <c r="D14" s="1" t="s">
        <v>12</v>
      </c>
      <c r="E14" s="1" t="s">
        <v>17</v>
      </c>
      <c r="F14" s="2" t="s">
        <v>14</v>
      </c>
      <c r="G14" s="3">
        <v>46244.791666666664</v>
      </c>
      <c r="H14" s="3">
        <v>46244.833333333328</v>
      </c>
      <c r="I14" s="1">
        <v>1</v>
      </c>
      <c r="J14" s="1" t="s">
        <v>15</v>
      </c>
      <c r="K14" s="1">
        <v>0</v>
      </c>
    </row>
    <row r="15" spans="1:11" x14ac:dyDescent="0.25">
      <c r="A15" s="1" t="s">
        <v>156</v>
      </c>
      <c r="B15" s="1" t="s">
        <v>33</v>
      </c>
      <c r="D15" s="1" t="s">
        <v>12</v>
      </c>
      <c r="E15" s="1" t="s">
        <v>34</v>
      </c>
      <c r="F15" s="2" t="s">
        <v>14</v>
      </c>
      <c r="G15" s="3">
        <v>46244.791666666664</v>
      </c>
      <c r="H15" s="3">
        <v>46244.895833333328</v>
      </c>
      <c r="I15" s="1">
        <v>2.5</v>
      </c>
      <c r="J15" s="1" t="s">
        <v>15</v>
      </c>
      <c r="K15" s="1">
        <v>0</v>
      </c>
    </row>
    <row r="16" spans="1:11" x14ac:dyDescent="0.25">
      <c r="A16" s="1" t="s">
        <v>153</v>
      </c>
      <c r="B16" s="1" t="s">
        <v>35</v>
      </c>
      <c r="D16" s="1" t="s">
        <v>12</v>
      </c>
      <c r="E16" s="1" t="s">
        <v>19</v>
      </c>
      <c r="F16" s="2" t="s">
        <v>14</v>
      </c>
      <c r="G16" s="3">
        <v>46245.416666666664</v>
      </c>
      <c r="H16" s="3">
        <v>46245.479166666664</v>
      </c>
      <c r="I16" s="1">
        <v>1.5</v>
      </c>
      <c r="J16" s="1" t="s">
        <v>15</v>
      </c>
      <c r="K16" s="1">
        <v>0</v>
      </c>
    </row>
    <row r="17" spans="1:11" x14ac:dyDescent="0.25">
      <c r="A17" s="1" t="s">
        <v>153</v>
      </c>
      <c r="B17" s="1" t="s">
        <v>36</v>
      </c>
      <c r="D17" s="1" t="s">
        <v>12</v>
      </c>
      <c r="E17" s="1" t="s">
        <v>22</v>
      </c>
      <c r="F17" s="2" t="s">
        <v>14</v>
      </c>
      <c r="G17" s="3">
        <v>46245.458333333336</v>
      </c>
      <c r="H17" s="3">
        <v>46245.520833333336</v>
      </c>
      <c r="I17" s="1">
        <v>1.5</v>
      </c>
      <c r="J17" s="1" t="s">
        <v>15</v>
      </c>
      <c r="K17" s="1">
        <v>0</v>
      </c>
    </row>
    <row r="18" spans="1:11" x14ac:dyDescent="0.25">
      <c r="A18" s="1" t="s">
        <v>151</v>
      </c>
      <c r="B18" s="1" t="s">
        <v>37</v>
      </c>
      <c r="D18" s="1" t="s">
        <v>12</v>
      </c>
      <c r="E18" s="1" t="s">
        <v>13</v>
      </c>
      <c r="F18" s="2" t="s">
        <v>14</v>
      </c>
      <c r="G18" s="3">
        <v>46245.458333333336</v>
      </c>
      <c r="H18" s="3">
        <v>46245.625</v>
      </c>
      <c r="I18" s="1">
        <v>4</v>
      </c>
      <c r="J18" s="1" t="s">
        <v>15</v>
      </c>
      <c r="K18" s="1">
        <v>0</v>
      </c>
    </row>
    <row r="19" spans="1:11" x14ac:dyDescent="0.25">
      <c r="A19" s="1" t="s">
        <v>158</v>
      </c>
      <c r="B19" s="1" t="s">
        <v>38</v>
      </c>
      <c r="D19" s="1" t="s">
        <v>12</v>
      </c>
      <c r="E19" s="1" t="s">
        <v>17</v>
      </c>
      <c r="F19" s="2" t="s">
        <v>14</v>
      </c>
      <c r="G19" s="3">
        <v>46245.458333333336</v>
      </c>
      <c r="H19" s="3">
        <v>46245.5</v>
      </c>
      <c r="I19" s="1">
        <v>1</v>
      </c>
      <c r="J19" s="1" t="s">
        <v>15</v>
      </c>
      <c r="K19" s="1">
        <v>0</v>
      </c>
    </row>
    <row r="20" spans="1:11" x14ac:dyDescent="0.25">
      <c r="A20" s="1" t="s">
        <v>153</v>
      </c>
      <c r="B20" s="1" t="s">
        <v>39</v>
      </c>
      <c r="D20" s="1" t="s">
        <v>12</v>
      </c>
      <c r="E20" s="1" t="s">
        <v>22</v>
      </c>
      <c r="F20" s="2" t="s">
        <v>14</v>
      </c>
      <c r="G20" s="3">
        <v>46245.541666666664</v>
      </c>
      <c r="H20" s="3">
        <v>46245.583333333328</v>
      </c>
      <c r="I20" s="1">
        <v>1</v>
      </c>
      <c r="J20" s="1" t="s">
        <v>15</v>
      </c>
      <c r="K20" s="1">
        <v>0</v>
      </c>
    </row>
    <row r="21" spans="1:11" x14ac:dyDescent="0.25">
      <c r="A21" s="1" t="s">
        <v>159</v>
      </c>
      <c r="B21" s="1" t="s">
        <v>40</v>
      </c>
      <c r="D21" s="1" t="s">
        <v>12</v>
      </c>
      <c r="E21" s="1" t="s">
        <v>41</v>
      </c>
      <c r="F21" s="2" t="s">
        <v>14</v>
      </c>
      <c r="G21" s="3">
        <v>46245.541666666664</v>
      </c>
      <c r="H21" s="3">
        <v>46245.708333333328</v>
      </c>
      <c r="I21" s="1">
        <v>4</v>
      </c>
      <c r="J21" s="1" t="s">
        <v>15</v>
      </c>
      <c r="K21" s="1">
        <v>0</v>
      </c>
    </row>
    <row r="22" spans="1:11" x14ac:dyDescent="0.25">
      <c r="A22" s="1" t="s">
        <v>156</v>
      </c>
      <c r="B22" s="1" t="s">
        <v>42</v>
      </c>
      <c r="C22" s="1" t="s">
        <v>43</v>
      </c>
      <c r="D22" s="1" t="s">
        <v>12</v>
      </c>
      <c r="E22" s="1" t="s">
        <v>28</v>
      </c>
      <c r="F22" s="2" t="s">
        <v>14</v>
      </c>
      <c r="G22" s="3">
        <v>46245.541666666664</v>
      </c>
      <c r="H22" s="3">
        <v>46245.625</v>
      </c>
      <c r="I22" s="1">
        <v>2</v>
      </c>
      <c r="J22" s="1" t="s">
        <v>15</v>
      </c>
      <c r="K22" s="1">
        <v>0</v>
      </c>
    </row>
    <row r="23" spans="1:11" x14ac:dyDescent="0.25">
      <c r="A23" s="1" t="s">
        <v>153</v>
      </c>
      <c r="B23" s="1" t="s">
        <v>44</v>
      </c>
      <c r="D23" s="1" t="s">
        <v>12</v>
      </c>
      <c r="E23" s="1" t="s">
        <v>19</v>
      </c>
      <c r="F23" s="2" t="s">
        <v>14</v>
      </c>
      <c r="G23" s="3">
        <v>46245.583333333336</v>
      </c>
      <c r="H23" s="3">
        <v>46245.625</v>
      </c>
      <c r="I23" s="1">
        <v>1</v>
      </c>
      <c r="J23" s="1" t="s">
        <v>15</v>
      </c>
      <c r="K23" s="1">
        <v>0</v>
      </c>
    </row>
    <row r="24" spans="1:11" x14ac:dyDescent="0.25">
      <c r="A24" s="1" t="s">
        <v>157</v>
      </c>
      <c r="B24" s="1" t="s">
        <v>45</v>
      </c>
      <c r="D24" s="1" t="s">
        <v>12</v>
      </c>
      <c r="E24" s="1" t="s">
        <v>46</v>
      </c>
      <c r="F24" s="2" t="s">
        <v>14</v>
      </c>
      <c r="G24" s="3">
        <v>46245.583333333336</v>
      </c>
      <c r="H24" s="3">
        <v>46245.625</v>
      </c>
      <c r="I24" s="1">
        <v>1</v>
      </c>
      <c r="J24" s="1" t="s">
        <v>15</v>
      </c>
      <c r="K24" s="1">
        <v>0</v>
      </c>
    </row>
    <row r="25" spans="1:11" x14ac:dyDescent="0.25">
      <c r="A25" s="1" t="s">
        <v>153</v>
      </c>
      <c r="B25" s="1" t="s">
        <v>47</v>
      </c>
      <c r="D25" s="1" t="s">
        <v>12</v>
      </c>
      <c r="E25" s="1" t="s">
        <v>46</v>
      </c>
      <c r="F25" s="2" t="s">
        <v>14</v>
      </c>
      <c r="G25" s="3">
        <v>46245.625</v>
      </c>
      <c r="H25" s="3">
        <v>46245.666666666664</v>
      </c>
      <c r="I25" s="1">
        <v>1</v>
      </c>
      <c r="J25" s="1" t="s">
        <v>15</v>
      </c>
      <c r="K25" s="1">
        <v>0</v>
      </c>
    </row>
    <row r="26" spans="1:11" x14ac:dyDescent="0.25">
      <c r="A26" s="1" t="s">
        <v>160</v>
      </c>
      <c r="B26" s="1" t="s">
        <v>48</v>
      </c>
      <c r="D26" s="1" t="s">
        <v>12</v>
      </c>
      <c r="E26" s="1" t="s">
        <v>17</v>
      </c>
      <c r="F26" s="2" t="s">
        <v>14</v>
      </c>
      <c r="G26" s="3">
        <v>46245.625</v>
      </c>
      <c r="H26" s="3">
        <v>46245.791666666664</v>
      </c>
      <c r="I26" s="1">
        <v>4</v>
      </c>
      <c r="J26" s="1" t="s">
        <v>15</v>
      </c>
      <c r="K26" s="1">
        <v>0</v>
      </c>
    </row>
    <row r="27" spans="1:11" x14ac:dyDescent="0.25">
      <c r="A27" s="1" t="s">
        <v>151</v>
      </c>
      <c r="B27" s="1" t="s">
        <v>49</v>
      </c>
      <c r="D27" s="1" t="s">
        <v>12</v>
      </c>
      <c r="E27" s="1" t="s">
        <v>50</v>
      </c>
      <c r="F27" s="2" t="s">
        <v>14</v>
      </c>
      <c r="G27" s="3">
        <v>46245.666666666664</v>
      </c>
      <c r="H27" s="3">
        <v>46245.75</v>
      </c>
      <c r="I27" s="1">
        <v>2</v>
      </c>
      <c r="J27" s="1" t="s">
        <v>15</v>
      </c>
      <c r="K27" s="1">
        <v>0</v>
      </c>
    </row>
    <row r="28" spans="1:11" x14ac:dyDescent="0.25">
      <c r="A28" s="1" t="s">
        <v>161</v>
      </c>
      <c r="B28" s="1" t="s">
        <v>51</v>
      </c>
      <c r="D28" s="1" t="s">
        <v>12</v>
      </c>
      <c r="E28" s="1" t="s">
        <v>46</v>
      </c>
      <c r="F28" s="2" t="s">
        <v>14</v>
      </c>
      <c r="G28" s="3">
        <v>46245.666666666664</v>
      </c>
      <c r="H28" s="3">
        <v>46245.791666666664</v>
      </c>
      <c r="I28" s="1">
        <v>3</v>
      </c>
      <c r="J28" s="1" t="s">
        <v>15</v>
      </c>
      <c r="K28" s="1">
        <v>0</v>
      </c>
    </row>
    <row r="29" spans="1:11" x14ac:dyDescent="0.25">
      <c r="A29" s="1" t="s">
        <v>153</v>
      </c>
      <c r="B29" s="1" t="s">
        <v>52</v>
      </c>
      <c r="D29" s="1" t="s">
        <v>12</v>
      </c>
      <c r="E29" s="1" t="s">
        <v>22</v>
      </c>
      <c r="F29" s="2" t="s">
        <v>14</v>
      </c>
      <c r="G29" s="3">
        <v>46245.708333333336</v>
      </c>
      <c r="H29" s="3">
        <v>46245.75</v>
      </c>
      <c r="I29" s="1">
        <v>1</v>
      </c>
      <c r="J29" s="1" t="s">
        <v>15</v>
      </c>
      <c r="K29" s="1">
        <v>0</v>
      </c>
    </row>
    <row r="30" spans="1:11" x14ac:dyDescent="0.25">
      <c r="A30" s="1" t="s">
        <v>156</v>
      </c>
      <c r="B30" s="1" t="s">
        <v>53</v>
      </c>
      <c r="C30" s="1" t="s">
        <v>27</v>
      </c>
      <c r="D30" s="1" t="s">
        <v>12</v>
      </c>
      <c r="E30" s="1" t="s">
        <v>28</v>
      </c>
      <c r="F30" s="2" t="s">
        <v>14</v>
      </c>
      <c r="G30" s="3">
        <v>46245.708333333336</v>
      </c>
      <c r="H30" s="3">
        <v>46245.791666666672</v>
      </c>
      <c r="I30" s="1">
        <v>2</v>
      </c>
      <c r="J30" s="1" t="s">
        <v>15</v>
      </c>
      <c r="K30" s="1">
        <v>0</v>
      </c>
    </row>
    <row r="31" spans="1:11" x14ac:dyDescent="0.25">
      <c r="A31" s="1" t="s">
        <v>162</v>
      </c>
      <c r="B31" s="1" t="s">
        <v>54</v>
      </c>
      <c r="D31" s="1" t="s">
        <v>12</v>
      </c>
      <c r="E31" s="1" t="s">
        <v>55</v>
      </c>
      <c r="F31" s="2" t="s">
        <v>56</v>
      </c>
      <c r="G31" s="3">
        <v>46245.75</v>
      </c>
      <c r="H31" s="3">
        <v>46245.958333333336</v>
      </c>
      <c r="I31" s="1">
        <v>5</v>
      </c>
      <c r="J31" s="1" t="s">
        <v>15</v>
      </c>
      <c r="K31" s="1">
        <v>0</v>
      </c>
    </row>
    <row r="32" spans="1:11" x14ac:dyDescent="0.25">
      <c r="A32" s="1" t="s">
        <v>158</v>
      </c>
      <c r="B32" s="1" t="s">
        <v>57</v>
      </c>
      <c r="D32" s="1" t="s">
        <v>12</v>
      </c>
      <c r="E32" s="1" t="s">
        <v>17</v>
      </c>
      <c r="F32" s="2" t="s">
        <v>14</v>
      </c>
      <c r="G32" s="3">
        <v>46245.760416666664</v>
      </c>
      <c r="H32" s="3">
        <v>46245.802083333328</v>
      </c>
      <c r="I32" s="1">
        <v>1</v>
      </c>
      <c r="J32" s="1" t="s">
        <v>15</v>
      </c>
      <c r="K32" s="1">
        <v>0</v>
      </c>
    </row>
    <row r="33" spans="1:11" x14ac:dyDescent="0.25">
      <c r="A33" s="1" t="s">
        <v>150</v>
      </c>
      <c r="B33" s="1" t="s">
        <v>58</v>
      </c>
      <c r="D33" s="1" t="s">
        <v>12</v>
      </c>
      <c r="E33" s="1" t="s">
        <v>17</v>
      </c>
      <c r="F33" s="2" t="s">
        <v>14</v>
      </c>
      <c r="G33" s="3">
        <v>46245.770833333336</v>
      </c>
      <c r="H33" s="3">
        <v>46245.8125</v>
      </c>
      <c r="I33" s="1">
        <v>1</v>
      </c>
      <c r="J33" s="1" t="s">
        <v>15</v>
      </c>
      <c r="K33" s="1">
        <v>0</v>
      </c>
    </row>
    <row r="34" spans="1:11" x14ac:dyDescent="0.25">
      <c r="A34" s="1" t="s">
        <v>152</v>
      </c>
      <c r="B34" s="1" t="s">
        <v>59</v>
      </c>
      <c r="C34" s="4"/>
      <c r="D34" s="1" t="s">
        <v>12</v>
      </c>
      <c r="E34" s="1" t="s">
        <v>19</v>
      </c>
      <c r="F34" s="2" t="s">
        <v>60</v>
      </c>
      <c r="G34" s="3">
        <v>46245.791666666664</v>
      </c>
      <c r="H34" s="3">
        <v>46245.875</v>
      </c>
      <c r="I34" s="1">
        <v>2</v>
      </c>
      <c r="J34" s="1" t="s">
        <v>15</v>
      </c>
      <c r="K34" s="1">
        <v>0</v>
      </c>
    </row>
    <row r="35" spans="1:11" x14ac:dyDescent="0.25">
      <c r="A35" s="1" t="s">
        <v>150</v>
      </c>
      <c r="B35" s="1" t="s">
        <v>61</v>
      </c>
      <c r="D35" s="1" t="s">
        <v>12</v>
      </c>
      <c r="E35" s="1" t="s">
        <v>17</v>
      </c>
      <c r="F35" s="2" t="s">
        <v>14</v>
      </c>
      <c r="G35" s="3">
        <v>46245.8125</v>
      </c>
      <c r="H35" s="3">
        <v>46245.854166666664</v>
      </c>
      <c r="I35" s="1">
        <v>1</v>
      </c>
      <c r="J35" s="1" t="s">
        <v>15</v>
      </c>
      <c r="K35" s="1">
        <v>0</v>
      </c>
    </row>
    <row r="36" spans="1:11" x14ac:dyDescent="0.25">
      <c r="A36" s="1" t="s">
        <v>163</v>
      </c>
      <c r="B36" s="1" t="s">
        <v>62</v>
      </c>
      <c r="D36" s="1" t="s">
        <v>12</v>
      </c>
      <c r="E36" s="1" t="s">
        <v>17</v>
      </c>
      <c r="F36" s="2" t="s">
        <v>14</v>
      </c>
      <c r="G36" s="3">
        <v>46245.8125</v>
      </c>
      <c r="H36" s="3">
        <v>46245.854166666664</v>
      </c>
      <c r="I36" s="1">
        <v>1</v>
      </c>
      <c r="J36" s="1" t="s">
        <v>15</v>
      </c>
      <c r="K36" s="1">
        <v>0</v>
      </c>
    </row>
    <row r="37" spans="1:11" x14ac:dyDescent="0.25">
      <c r="A37" s="1" t="s">
        <v>156</v>
      </c>
      <c r="B37" s="1" t="s">
        <v>63</v>
      </c>
      <c r="D37" s="1" t="s">
        <v>12</v>
      </c>
      <c r="E37" s="1" t="s">
        <v>34</v>
      </c>
      <c r="F37" s="2" t="s">
        <v>64</v>
      </c>
      <c r="G37" s="3">
        <v>46245.8125</v>
      </c>
      <c r="H37" s="3">
        <v>46245.916666666664</v>
      </c>
      <c r="I37" s="1">
        <v>2.5</v>
      </c>
      <c r="J37" s="1" t="s">
        <v>15</v>
      </c>
      <c r="K37" s="1">
        <v>0</v>
      </c>
    </row>
    <row r="38" spans="1:11" x14ac:dyDescent="0.25">
      <c r="A38" s="1" t="s">
        <v>153</v>
      </c>
      <c r="B38" s="1" t="s">
        <v>65</v>
      </c>
      <c r="D38" s="1" t="s">
        <v>12</v>
      </c>
      <c r="E38" s="1" t="s">
        <v>66</v>
      </c>
      <c r="F38" s="2" t="s">
        <v>14</v>
      </c>
      <c r="G38" s="3">
        <v>46246.416666666664</v>
      </c>
      <c r="H38" s="3">
        <v>46246.479166666664</v>
      </c>
      <c r="I38" s="1">
        <v>1.5</v>
      </c>
      <c r="J38" s="1" t="s">
        <v>15</v>
      </c>
      <c r="K38" s="1">
        <v>0</v>
      </c>
    </row>
    <row r="39" spans="1:11" x14ac:dyDescent="0.25">
      <c r="A39" s="1" t="s">
        <v>153</v>
      </c>
      <c r="B39" s="1" t="s">
        <v>67</v>
      </c>
      <c r="D39" s="1" t="s">
        <v>12</v>
      </c>
      <c r="E39" s="1" t="s">
        <v>46</v>
      </c>
      <c r="F39" s="2" t="s">
        <v>14</v>
      </c>
      <c r="G39" s="3">
        <v>46246.416666666664</v>
      </c>
      <c r="H39" s="3">
        <v>46246.479166666664</v>
      </c>
      <c r="I39" s="1">
        <v>1.5</v>
      </c>
      <c r="J39" s="1" t="s">
        <v>15</v>
      </c>
      <c r="K39" s="1">
        <v>0</v>
      </c>
    </row>
    <row r="40" spans="1:11" x14ac:dyDescent="0.25">
      <c r="A40" s="1" t="s">
        <v>157</v>
      </c>
      <c r="B40" s="1" t="s">
        <v>68</v>
      </c>
      <c r="D40" s="1" t="s">
        <v>12</v>
      </c>
      <c r="E40" s="1" t="s">
        <v>17</v>
      </c>
      <c r="F40" s="2" t="s">
        <v>14</v>
      </c>
      <c r="G40" s="3">
        <v>46246.458333333336</v>
      </c>
      <c r="H40" s="3">
        <v>46246.5</v>
      </c>
      <c r="I40" s="1">
        <v>1</v>
      </c>
      <c r="J40" s="1" t="s">
        <v>15</v>
      </c>
      <c r="K40" s="1">
        <v>0</v>
      </c>
    </row>
    <row r="41" spans="1:11" x14ac:dyDescent="0.25">
      <c r="A41" s="1" t="s">
        <v>164</v>
      </c>
      <c r="B41" s="1" t="s">
        <v>69</v>
      </c>
      <c r="D41" s="1" t="s">
        <v>12</v>
      </c>
      <c r="E41" s="1" t="s">
        <v>17</v>
      </c>
      <c r="F41" s="2" t="s">
        <v>14</v>
      </c>
      <c r="G41" s="3">
        <v>46246.458333333336</v>
      </c>
      <c r="H41" s="3">
        <v>46246.541666666672</v>
      </c>
      <c r="I41" s="1">
        <v>2</v>
      </c>
      <c r="J41" s="1" t="s">
        <v>15</v>
      </c>
      <c r="K41" s="1">
        <v>0</v>
      </c>
    </row>
    <row r="42" spans="1:11" x14ac:dyDescent="0.25">
      <c r="A42" s="1" t="s">
        <v>151</v>
      </c>
      <c r="B42" s="1" t="s">
        <v>70</v>
      </c>
      <c r="D42" s="1" t="s">
        <v>12</v>
      </c>
      <c r="E42" s="1" t="s">
        <v>13</v>
      </c>
      <c r="F42" s="2" t="s">
        <v>14</v>
      </c>
      <c r="G42" s="3">
        <v>46246.5</v>
      </c>
      <c r="H42" s="3">
        <v>46246.666666666664</v>
      </c>
      <c r="I42" s="1">
        <v>4</v>
      </c>
      <c r="J42" s="1" t="s">
        <v>15</v>
      </c>
      <c r="K42" s="1">
        <v>0</v>
      </c>
    </row>
    <row r="43" spans="1:11" x14ac:dyDescent="0.25">
      <c r="A43" s="1" t="s">
        <v>150</v>
      </c>
      <c r="B43" s="1" t="s">
        <v>71</v>
      </c>
      <c r="D43" s="1" t="s">
        <v>12</v>
      </c>
      <c r="E43" s="1" t="s">
        <v>22</v>
      </c>
      <c r="F43" s="2" t="s">
        <v>14</v>
      </c>
      <c r="G43" s="3">
        <v>46246.5</v>
      </c>
      <c r="H43" s="3">
        <v>46246.541666666664</v>
      </c>
      <c r="I43" s="1">
        <v>1</v>
      </c>
      <c r="J43" s="1" t="s">
        <v>15</v>
      </c>
      <c r="K43" s="1">
        <v>0</v>
      </c>
    </row>
    <row r="44" spans="1:11" x14ac:dyDescent="0.25">
      <c r="A44" s="1" t="s">
        <v>157</v>
      </c>
      <c r="B44" s="1" t="s">
        <v>72</v>
      </c>
      <c r="D44" s="1" t="s">
        <v>12</v>
      </c>
      <c r="E44" s="1" t="s">
        <v>17</v>
      </c>
      <c r="F44" s="2" t="s">
        <v>14</v>
      </c>
      <c r="G44" s="3">
        <v>46246.5</v>
      </c>
      <c r="H44" s="3">
        <v>46246.666666666664</v>
      </c>
      <c r="I44" s="1">
        <v>4</v>
      </c>
      <c r="J44" s="1" t="s">
        <v>15</v>
      </c>
      <c r="K44" s="1">
        <v>0</v>
      </c>
    </row>
    <row r="45" spans="1:11" x14ac:dyDescent="0.25">
      <c r="A45" s="1" t="s">
        <v>162</v>
      </c>
      <c r="B45" s="1" t="s">
        <v>54</v>
      </c>
      <c r="D45" s="1" t="s">
        <v>12</v>
      </c>
      <c r="E45" s="1" t="s">
        <v>55</v>
      </c>
      <c r="F45" s="2" t="s">
        <v>56</v>
      </c>
      <c r="G45" s="3">
        <v>46246.541666666664</v>
      </c>
      <c r="H45" s="3">
        <v>46246.75</v>
      </c>
      <c r="I45" s="1">
        <v>5</v>
      </c>
      <c r="J45" s="1" t="s">
        <v>15</v>
      </c>
      <c r="K45" s="1">
        <v>0</v>
      </c>
    </row>
    <row r="46" spans="1:11" x14ac:dyDescent="0.25">
      <c r="A46" s="1" t="s">
        <v>162</v>
      </c>
      <c r="B46" s="1" t="s">
        <v>73</v>
      </c>
      <c r="D46" s="1" t="s">
        <v>12</v>
      </c>
      <c r="E46" s="1" t="s">
        <v>55</v>
      </c>
      <c r="F46" s="2" t="s">
        <v>74</v>
      </c>
      <c r="G46" s="3">
        <v>46246.541666666664</v>
      </c>
      <c r="H46" s="3">
        <v>46246.583333333328</v>
      </c>
      <c r="I46" s="1">
        <v>1</v>
      </c>
      <c r="J46" s="1" t="s">
        <v>15</v>
      </c>
      <c r="K46" s="1">
        <v>0</v>
      </c>
    </row>
    <row r="47" spans="1:11" x14ac:dyDescent="0.25">
      <c r="A47" s="1" t="s">
        <v>157</v>
      </c>
      <c r="B47" s="1" t="s">
        <v>75</v>
      </c>
      <c r="D47" s="1" t="s">
        <v>12</v>
      </c>
      <c r="E47" s="1" t="s">
        <v>34</v>
      </c>
      <c r="F47" s="2" t="s">
        <v>14</v>
      </c>
      <c r="G47" s="3">
        <v>46246.541666666664</v>
      </c>
      <c r="H47" s="3">
        <v>46246.583333333328</v>
      </c>
      <c r="I47" s="1">
        <v>1</v>
      </c>
      <c r="J47" s="1" t="s">
        <v>15</v>
      </c>
      <c r="K47" s="1">
        <v>0</v>
      </c>
    </row>
    <row r="48" spans="1:11" x14ac:dyDescent="0.25">
      <c r="A48" s="1" t="s">
        <v>151</v>
      </c>
      <c r="B48" s="1" t="s">
        <v>49</v>
      </c>
      <c r="D48" s="1" t="s">
        <v>12</v>
      </c>
      <c r="E48" s="1" t="s">
        <v>50</v>
      </c>
      <c r="F48" s="2" t="s">
        <v>14</v>
      </c>
      <c r="G48" s="3">
        <v>46246.541666666664</v>
      </c>
      <c r="H48" s="3">
        <v>46246.583333333328</v>
      </c>
      <c r="I48" s="1">
        <v>1</v>
      </c>
      <c r="J48" s="1" t="s">
        <v>15</v>
      </c>
      <c r="K48" s="1">
        <v>0</v>
      </c>
    </row>
    <row r="49" spans="1:11" x14ac:dyDescent="0.25">
      <c r="A49" s="1" t="s">
        <v>157</v>
      </c>
      <c r="B49" s="1" t="s">
        <v>76</v>
      </c>
      <c r="D49" s="1" t="s">
        <v>12</v>
      </c>
      <c r="E49" s="1" t="s">
        <v>34</v>
      </c>
      <c r="F49" s="2" t="s">
        <v>14</v>
      </c>
      <c r="G49" s="3">
        <v>46246.583333333336</v>
      </c>
      <c r="H49" s="3">
        <v>46246.625</v>
      </c>
      <c r="I49" s="1">
        <v>1</v>
      </c>
      <c r="J49" s="1" t="s">
        <v>15</v>
      </c>
      <c r="K49" s="1">
        <v>0</v>
      </c>
    </row>
    <row r="50" spans="1:11" x14ac:dyDescent="0.25">
      <c r="A50" s="1" t="s">
        <v>153</v>
      </c>
      <c r="B50" s="1" t="s">
        <v>77</v>
      </c>
      <c r="D50" s="1" t="s">
        <v>12</v>
      </c>
      <c r="E50" s="1" t="s">
        <v>46</v>
      </c>
      <c r="F50" s="2" t="s">
        <v>14</v>
      </c>
      <c r="G50" s="3">
        <v>46246.625</v>
      </c>
      <c r="H50" s="3">
        <v>46246.6875</v>
      </c>
      <c r="I50" s="1">
        <v>1.5</v>
      </c>
      <c r="J50" s="1" t="s">
        <v>15</v>
      </c>
      <c r="K50" s="1">
        <v>0</v>
      </c>
    </row>
    <row r="51" spans="1:11" x14ac:dyDescent="0.25">
      <c r="A51" s="1" t="s">
        <v>153</v>
      </c>
      <c r="B51" s="1" t="s">
        <v>78</v>
      </c>
      <c r="D51" s="1" t="s">
        <v>12</v>
      </c>
      <c r="E51" s="1" t="s">
        <v>22</v>
      </c>
      <c r="F51" s="2" t="s">
        <v>14</v>
      </c>
      <c r="G51" s="3">
        <v>46246.625</v>
      </c>
      <c r="H51" s="3">
        <v>46246.666666666664</v>
      </c>
      <c r="I51" s="1">
        <v>1</v>
      </c>
      <c r="J51" s="1" t="s">
        <v>15</v>
      </c>
      <c r="K51" s="1">
        <v>0</v>
      </c>
    </row>
    <row r="52" spans="1:11" x14ac:dyDescent="0.25">
      <c r="A52" s="1" t="s">
        <v>153</v>
      </c>
      <c r="B52" s="1" t="s">
        <v>79</v>
      </c>
      <c r="D52" s="1" t="s">
        <v>12</v>
      </c>
      <c r="E52" s="1" t="s">
        <v>80</v>
      </c>
      <c r="F52" s="2" t="s">
        <v>14</v>
      </c>
      <c r="G52" s="3">
        <v>46246.666666666664</v>
      </c>
      <c r="H52" s="3">
        <v>46246.708333333328</v>
      </c>
      <c r="I52" s="1">
        <v>1</v>
      </c>
      <c r="J52" s="1" t="s">
        <v>15</v>
      </c>
      <c r="K52" s="1">
        <v>0</v>
      </c>
    </row>
    <row r="53" spans="1:11" x14ac:dyDescent="0.25">
      <c r="A53" s="1" t="s">
        <v>161</v>
      </c>
      <c r="B53" s="1" t="s">
        <v>51</v>
      </c>
      <c r="D53" s="1" t="s">
        <v>12</v>
      </c>
      <c r="E53" s="1" t="s">
        <v>80</v>
      </c>
      <c r="F53" s="2" t="s">
        <v>14</v>
      </c>
      <c r="G53" s="3">
        <v>46246.666666666664</v>
      </c>
      <c r="H53" s="3">
        <v>46246.708333333328</v>
      </c>
      <c r="I53" s="1">
        <v>1</v>
      </c>
      <c r="J53" s="1" t="s">
        <v>15</v>
      </c>
      <c r="K53" s="1">
        <v>0</v>
      </c>
    </row>
    <row r="54" spans="1:11" x14ac:dyDescent="0.25">
      <c r="A54" s="1" t="s">
        <v>156</v>
      </c>
      <c r="B54" s="1" t="s">
        <v>81</v>
      </c>
      <c r="C54" s="1" t="s">
        <v>82</v>
      </c>
      <c r="D54" s="1" t="s">
        <v>12</v>
      </c>
      <c r="E54" s="1" t="s">
        <v>28</v>
      </c>
      <c r="F54" s="2" t="s">
        <v>14</v>
      </c>
      <c r="G54" s="3">
        <v>46246.708333333336</v>
      </c>
      <c r="H54" s="3">
        <v>46246.791666666672</v>
      </c>
      <c r="I54" s="1">
        <v>2</v>
      </c>
      <c r="J54" s="1" t="s">
        <v>15</v>
      </c>
      <c r="K54" s="1">
        <v>0</v>
      </c>
    </row>
    <row r="55" spans="1:11" x14ac:dyDescent="0.25">
      <c r="A55" s="1" t="s">
        <v>159</v>
      </c>
      <c r="B55" s="1" t="s">
        <v>40</v>
      </c>
      <c r="D55" s="1" t="s">
        <v>12</v>
      </c>
      <c r="E55" s="1" t="s">
        <v>41</v>
      </c>
      <c r="F55" s="2" t="s">
        <v>14</v>
      </c>
      <c r="G55" s="3">
        <v>46246.75</v>
      </c>
      <c r="H55" s="3">
        <v>46246.916666666664</v>
      </c>
      <c r="I55" s="1">
        <v>4</v>
      </c>
      <c r="J55" s="1" t="s">
        <v>15</v>
      </c>
      <c r="K55" s="1">
        <v>0</v>
      </c>
    </row>
    <row r="56" spans="1:11" x14ac:dyDescent="0.25">
      <c r="A56" s="1" t="s">
        <v>156</v>
      </c>
      <c r="B56" s="1" t="s">
        <v>83</v>
      </c>
      <c r="D56" s="1" t="s">
        <v>12</v>
      </c>
      <c r="E56" s="1" t="s">
        <v>34</v>
      </c>
      <c r="F56" s="2" t="s">
        <v>64</v>
      </c>
      <c r="G56" s="3">
        <v>46246.791666666664</v>
      </c>
      <c r="H56" s="3">
        <v>46246.854166666664</v>
      </c>
      <c r="I56" s="1">
        <v>1.5</v>
      </c>
      <c r="J56" s="1" t="s">
        <v>15</v>
      </c>
      <c r="K56" s="1">
        <v>0</v>
      </c>
    </row>
    <row r="57" spans="1:11" x14ac:dyDescent="0.25">
      <c r="A57" s="1" t="s">
        <v>157</v>
      </c>
      <c r="B57" s="1" t="s">
        <v>32</v>
      </c>
      <c r="D57" s="1" t="s">
        <v>12</v>
      </c>
      <c r="E57" s="1" t="s">
        <v>17</v>
      </c>
      <c r="F57" s="2" t="s">
        <v>14</v>
      </c>
      <c r="G57" s="3">
        <v>46246.791666666664</v>
      </c>
      <c r="H57" s="3">
        <v>46246.833333333328</v>
      </c>
      <c r="I57" s="1">
        <v>1</v>
      </c>
      <c r="J57" s="1" t="s">
        <v>15</v>
      </c>
      <c r="K57" s="1">
        <v>0</v>
      </c>
    </row>
    <row r="58" spans="1:11" x14ac:dyDescent="0.25">
      <c r="A58" s="1" t="s">
        <v>152</v>
      </c>
      <c r="B58" s="1" t="s">
        <v>84</v>
      </c>
      <c r="D58" s="1" t="s">
        <v>12</v>
      </c>
      <c r="E58" s="1" t="s">
        <v>19</v>
      </c>
      <c r="F58" s="2" t="s">
        <v>60</v>
      </c>
      <c r="G58" s="3">
        <v>46246.791666666664</v>
      </c>
      <c r="H58" s="3">
        <v>46246.833333333328</v>
      </c>
      <c r="I58" s="1">
        <v>1</v>
      </c>
      <c r="J58" s="1" t="s">
        <v>15</v>
      </c>
      <c r="K58" s="1">
        <v>0</v>
      </c>
    </row>
    <row r="59" spans="1:11" x14ac:dyDescent="0.25">
      <c r="A59" s="1" t="s">
        <v>156</v>
      </c>
      <c r="B59" s="1" t="s">
        <v>85</v>
      </c>
      <c r="D59" s="1" t="s">
        <v>12</v>
      </c>
      <c r="E59" s="1" t="s">
        <v>34</v>
      </c>
      <c r="F59" s="2" t="s">
        <v>64</v>
      </c>
      <c r="G59" s="3">
        <v>46246.875</v>
      </c>
      <c r="H59" s="3">
        <v>46246.958333333336</v>
      </c>
      <c r="I59" s="1">
        <v>2</v>
      </c>
      <c r="J59" s="1" t="s">
        <v>15</v>
      </c>
      <c r="K59" s="1">
        <v>0</v>
      </c>
    </row>
    <row r="60" spans="1:11" x14ac:dyDescent="0.25">
      <c r="A60" s="1" t="s">
        <v>153</v>
      </c>
      <c r="B60" s="1" t="s">
        <v>86</v>
      </c>
      <c r="D60" s="1" t="s">
        <v>12</v>
      </c>
      <c r="E60" s="1" t="s">
        <v>66</v>
      </c>
      <c r="F60" s="2" t="s">
        <v>14</v>
      </c>
      <c r="G60" s="3">
        <v>46247.416666666664</v>
      </c>
      <c r="H60" s="3">
        <v>46247.479166666664</v>
      </c>
      <c r="I60" s="1">
        <v>1.5</v>
      </c>
      <c r="J60" s="1" t="s">
        <v>15</v>
      </c>
      <c r="K60" s="1">
        <v>0</v>
      </c>
    </row>
    <row r="61" spans="1:11" x14ac:dyDescent="0.25">
      <c r="A61" s="1" t="s">
        <v>165</v>
      </c>
      <c r="B61" s="1" t="s">
        <v>87</v>
      </c>
      <c r="D61" s="1" t="s">
        <v>12</v>
      </c>
      <c r="E61" s="1" t="s">
        <v>13</v>
      </c>
      <c r="F61" s="2" t="s">
        <v>80</v>
      </c>
      <c r="G61" s="3">
        <v>46247.5</v>
      </c>
      <c r="H61" s="3">
        <v>46247.583333333336</v>
      </c>
      <c r="I61" s="1">
        <v>2</v>
      </c>
      <c r="J61" s="1" t="s">
        <v>15</v>
      </c>
      <c r="K61" s="1">
        <v>0</v>
      </c>
    </row>
    <row r="62" spans="1:11" x14ac:dyDescent="0.25">
      <c r="A62" s="1" t="s">
        <v>153</v>
      </c>
      <c r="B62" s="1" t="s">
        <v>88</v>
      </c>
      <c r="D62" s="1" t="s">
        <v>12</v>
      </c>
      <c r="E62" s="1" t="s">
        <v>22</v>
      </c>
      <c r="F62" s="2" t="s">
        <v>14</v>
      </c>
      <c r="G62" s="3">
        <v>46247.5</v>
      </c>
      <c r="H62" s="3">
        <v>46247.5625</v>
      </c>
      <c r="I62" s="1">
        <v>1.5</v>
      </c>
      <c r="J62" s="1" t="s">
        <v>15</v>
      </c>
      <c r="K62" s="1">
        <v>0</v>
      </c>
    </row>
    <row r="63" spans="1:11" x14ac:dyDescent="0.25">
      <c r="A63" s="1" t="s">
        <v>150</v>
      </c>
      <c r="B63" s="1" t="s">
        <v>23</v>
      </c>
      <c r="D63" s="1" t="s">
        <v>12</v>
      </c>
      <c r="E63" s="1" t="s">
        <v>17</v>
      </c>
      <c r="F63" s="2" t="s">
        <v>14</v>
      </c>
      <c r="G63" s="3">
        <v>46247.5</v>
      </c>
      <c r="H63" s="3">
        <v>46247.541666666664</v>
      </c>
      <c r="I63" s="1">
        <v>1</v>
      </c>
      <c r="J63" s="1" t="s">
        <v>15</v>
      </c>
      <c r="K63" s="1">
        <v>0</v>
      </c>
    </row>
    <row r="64" spans="1:11" x14ac:dyDescent="0.25">
      <c r="A64" s="1" t="s">
        <v>153</v>
      </c>
      <c r="B64" s="1" t="s">
        <v>89</v>
      </c>
      <c r="D64" s="1" t="s">
        <v>12</v>
      </c>
      <c r="E64" s="1" t="s">
        <v>46</v>
      </c>
      <c r="F64" s="2" t="s">
        <v>14</v>
      </c>
      <c r="G64" s="3">
        <v>46247.625</v>
      </c>
      <c r="H64" s="3">
        <v>46247.6875</v>
      </c>
      <c r="I64" s="1">
        <v>1.5</v>
      </c>
      <c r="J64" s="1" t="s">
        <v>15</v>
      </c>
      <c r="K64" s="1">
        <v>0</v>
      </c>
    </row>
    <row r="65" spans="1:11" x14ac:dyDescent="0.25">
      <c r="A65" s="1" t="s">
        <v>162</v>
      </c>
      <c r="B65" s="1" t="s">
        <v>54</v>
      </c>
      <c r="D65" s="1" t="s">
        <v>12</v>
      </c>
      <c r="E65" s="1" t="s">
        <v>55</v>
      </c>
      <c r="F65" s="2" t="s">
        <v>56</v>
      </c>
      <c r="G65" s="3">
        <v>46247.708333333336</v>
      </c>
      <c r="H65" s="3">
        <v>46247.75</v>
      </c>
      <c r="I65" s="1">
        <v>1</v>
      </c>
      <c r="J65" s="1" t="s">
        <v>15</v>
      </c>
      <c r="K65" s="1">
        <v>0</v>
      </c>
    </row>
    <row r="66" spans="1:11" x14ac:dyDescent="0.25">
      <c r="A66" s="1" t="s">
        <v>161</v>
      </c>
      <c r="B66" s="1" t="s">
        <v>51</v>
      </c>
      <c r="D66" s="1" t="s">
        <v>12</v>
      </c>
      <c r="E66" s="1" t="s">
        <v>80</v>
      </c>
      <c r="F66" s="2" t="s">
        <v>14</v>
      </c>
      <c r="G66" s="3">
        <v>46247.666666666664</v>
      </c>
      <c r="H66" s="3">
        <v>46247.833333333328</v>
      </c>
      <c r="I66" s="1">
        <v>4</v>
      </c>
      <c r="J66" s="1" t="s">
        <v>15</v>
      </c>
      <c r="K66" s="1">
        <v>0</v>
      </c>
    </row>
    <row r="67" spans="1:11" x14ac:dyDescent="0.25">
      <c r="A67" s="1" t="s">
        <v>166</v>
      </c>
      <c r="B67" s="1" t="s">
        <v>90</v>
      </c>
      <c r="D67" s="1" t="s">
        <v>12</v>
      </c>
      <c r="E67" s="1" t="s">
        <v>34</v>
      </c>
      <c r="F67" s="2" t="s">
        <v>91</v>
      </c>
      <c r="G67" s="3">
        <v>46247.708333333336</v>
      </c>
      <c r="H67" s="3">
        <v>46247.8125</v>
      </c>
      <c r="I67" s="1">
        <v>2.5</v>
      </c>
      <c r="J67" s="1" t="s">
        <v>15</v>
      </c>
      <c r="K67" s="1">
        <v>0</v>
      </c>
    </row>
    <row r="68" spans="1:11" x14ac:dyDescent="0.25">
      <c r="A68" s="1" t="s">
        <v>156</v>
      </c>
      <c r="B68" s="1" t="s">
        <v>92</v>
      </c>
      <c r="C68" s="1" t="s">
        <v>82</v>
      </c>
      <c r="D68" s="1" t="s">
        <v>12</v>
      </c>
      <c r="E68" s="1" t="s">
        <v>28</v>
      </c>
      <c r="F68" s="2" t="s">
        <v>14</v>
      </c>
      <c r="G68" s="3">
        <v>46247.708333333336</v>
      </c>
      <c r="H68" s="3">
        <v>46247.791666666672</v>
      </c>
      <c r="I68" s="1">
        <v>2</v>
      </c>
      <c r="J68" s="1" t="s">
        <v>15</v>
      </c>
      <c r="K68" s="1">
        <v>0</v>
      </c>
    </row>
    <row r="69" spans="1:11" x14ac:dyDescent="0.25">
      <c r="A69" s="1" t="s">
        <v>157</v>
      </c>
      <c r="B69" s="1" t="s">
        <v>93</v>
      </c>
      <c r="D69" s="1" t="s">
        <v>12</v>
      </c>
      <c r="E69" s="1" t="s">
        <v>17</v>
      </c>
      <c r="F69" s="2" t="s">
        <v>14</v>
      </c>
      <c r="G69" s="3">
        <v>46247.75</v>
      </c>
      <c r="H69" s="3">
        <v>46247.791666666664</v>
      </c>
      <c r="I69" s="1">
        <v>1</v>
      </c>
      <c r="J69" s="1" t="s">
        <v>15</v>
      </c>
      <c r="K69" s="1">
        <v>0</v>
      </c>
    </row>
    <row r="70" spans="1:11" x14ac:dyDescent="0.25">
      <c r="A70" s="1" t="s">
        <v>152</v>
      </c>
      <c r="B70" s="1" t="s">
        <v>94</v>
      </c>
      <c r="D70" s="1" t="s">
        <v>12</v>
      </c>
      <c r="E70" s="1" t="s">
        <v>19</v>
      </c>
      <c r="F70" s="2" t="s">
        <v>14</v>
      </c>
      <c r="G70" s="3">
        <v>46247.75</v>
      </c>
      <c r="H70" s="3">
        <v>46247.791666666664</v>
      </c>
      <c r="I70" s="1">
        <v>1</v>
      </c>
      <c r="J70" s="1" t="s">
        <v>15</v>
      </c>
      <c r="K70" s="1">
        <v>0</v>
      </c>
    </row>
    <row r="71" spans="1:11" x14ac:dyDescent="0.25">
      <c r="A71" s="1" t="s">
        <v>159</v>
      </c>
      <c r="B71" s="1" t="s">
        <v>40</v>
      </c>
      <c r="D71" s="1" t="s">
        <v>12</v>
      </c>
      <c r="E71" s="1" t="s">
        <v>41</v>
      </c>
      <c r="F71" s="2" t="s">
        <v>14</v>
      </c>
      <c r="G71" s="3">
        <v>46247.791666666664</v>
      </c>
      <c r="H71" s="3">
        <v>46247.958333333328</v>
      </c>
      <c r="I71" s="1">
        <v>4</v>
      </c>
      <c r="J71" s="1" t="s">
        <v>15</v>
      </c>
      <c r="K71" s="1">
        <v>0</v>
      </c>
    </row>
    <row r="72" spans="1:11" x14ac:dyDescent="0.25">
      <c r="A72" s="1" t="s">
        <v>157</v>
      </c>
      <c r="B72" s="1" t="s">
        <v>95</v>
      </c>
      <c r="D72" s="1" t="s">
        <v>12</v>
      </c>
      <c r="E72" s="1" t="s">
        <v>19</v>
      </c>
      <c r="F72" s="2" t="s">
        <v>91</v>
      </c>
      <c r="G72" s="3">
        <v>46247.791666666664</v>
      </c>
      <c r="H72" s="3">
        <v>46247.875</v>
      </c>
      <c r="I72" s="1">
        <v>2</v>
      </c>
      <c r="J72" s="1" t="s">
        <v>15</v>
      </c>
      <c r="K72" s="1">
        <v>0</v>
      </c>
    </row>
    <row r="73" spans="1:11" x14ac:dyDescent="0.25">
      <c r="A73" s="1" t="s">
        <v>156</v>
      </c>
      <c r="B73" s="1" t="s">
        <v>96</v>
      </c>
      <c r="D73" s="1" t="s">
        <v>12</v>
      </c>
      <c r="E73" s="1" t="s">
        <v>34</v>
      </c>
      <c r="F73" s="2" t="s">
        <v>14</v>
      </c>
      <c r="G73" s="3">
        <v>46247.854166666664</v>
      </c>
      <c r="H73" s="3">
        <v>46247.979166666664</v>
      </c>
      <c r="I73" s="1">
        <v>3</v>
      </c>
      <c r="J73" s="1" t="s">
        <v>15</v>
      </c>
      <c r="K73" s="1">
        <v>0</v>
      </c>
    </row>
    <row r="74" spans="1:11" x14ac:dyDescent="0.25">
      <c r="A74" s="1" t="s">
        <v>153</v>
      </c>
      <c r="B74" s="1" t="s">
        <v>97</v>
      </c>
      <c r="D74" s="1" t="s">
        <v>12</v>
      </c>
      <c r="E74" s="1" t="s">
        <v>46</v>
      </c>
      <c r="F74" s="2" t="s">
        <v>14</v>
      </c>
      <c r="G74" s="3">
        <v>46248.375</v>
      </c>
      <c r="H74" s="3">
        <v>46248.416666666664</v>
      </c>
      <c r="I74" s="1">
        <v>1</v>
      </c>
      <c r="J74" s="1" t="s">
        <v>15</v>
      </c>
      <c r="K74" s="1">
        <v>0</v>
      </c>
    </row>
    <row r="75" spans="1:11" x14ac:dyDescent="0.25">
      <c r="A75" s="1" t="s">
        <v>153</v>
      </c>
      <c r="B75" s="1" t="s">
        <v>98</v>
      </c>
      <c r="D75" s="1" t="s">
        <v>12</v>
      </c>
      <c r="E75" s="1" t="s">
        <v>22</v>
      </c>
      <c r="F75" s="2" t="s">
        <v>14</v>
      </c>
      <c r="G75" s="3">
        <v>46248.416666666664</v>
      </c>
      <c r="H75" s="3">
        <v>46248.479166666664</v>
      </c>
      <c r="I75" s="1">
        <v>1.5</v>
      </c>
      <c r="J75" s="1" t="s">
        <v>15</v>
      </c>
      <c r="K75" s="1">
        <v>0</v>
      </c>
    </row>
    <row r="76" spans="1:11" x14ac:dyDescent="0.25">
      <c r="A76" s="1" t="s">
        <v>151</v>
      </c>
      <c r="B76" s="1" t="s">
        <v>70</v>
      </c>
      <c r="D76" s="1" t="s">
        <v>12</v>
      </c>
      <c r="E76" s="1" t="s">
        <v>13</v>
      </c>
      <c r="F76" s="2" t="s">
        <v>14</v>
      </c>
      <c r="G76" s="3">
        <v>46248.5</v>
      </c>
      <c r="H76" s="3">
        <v>46248.666666666664</v>
      </c>
      <c r="I76" s="1">
        <v>4</v>
      </c>
      <c r="J76" s="1" t="s">
        <v>15</v>
      </c>
      <c r="K76" s="1">
        <v>0</v>
      </c>
    </row>
    <row r="77" spans="1:11" x14ac:dyDescent="0.25">
      <c r="A77" s="1" t="s">
        <v>150</v>
      </c>
      <c r="B77" s="1" t="s">
        <v>99</v>
      </c>
      <c r="D77" s="1" t="s">
        <v>12</v>
      </c>
      <c r="E77" s="1" t="s">
        <v>17</v>
      </c>
      <c r="F77" s="2" t="s">
        <v>14</v>
      </c>
      <c r="G77" s="3">
        <v>46248.5</v>
      </c>
      <c r="H77" s="3">
        <v>46248.541666666664</v>
      </c>
      <c r="I77" s="1">
        <v>1</v>
      </c>
      <c r="J77" s="1" t="s">
        <v>15</v>
      </c>
      <c r="K77" s="1">
        <v>0</v>
      </c>
    </row>
    <row r="78" spans="1:11" x14ac:dyDescent="0.25">
      <c r="A78" s="1" t="s">
        <v>157</v>
      </c>
      <c r="B78" s="1" t="s">
        <v>100</v>
      </c>
      <c r="D78" s="1" t="s">
        <v>12</v>
      </c>
      <c r="E78" s="1" t="s">
        <v>46</v>
      </c>
      <c r="F78" s="2" t="s">
        <v>14</v>
      </c>
      <c r="G78" s="3">
        <v>46248.541666666664</v>
      </c>
      <c r="H78" s="3">
        <v>46248.604166666664</v>
      </c>
      <c r="I78" s="1">
        <v>1.5</v>
      </c>
      <c r="J78" s="1" t="s">
        <v>15</v>
      </c>
      <c r="K78" s="1">
        <v>0</v>
      </c>
    </row>
    <row r="79" spans="1:11" x14ac:dyDescent="0.25">
      <c r="A79" s="1" t="s">
        <v>162</v>
      </c>
      <c r="B79" s="1" t="s">
        <v>54</v>
      </c>
      <c r="D79" s="1" t="s">
        <v>12</v>
      </c>
      <c r="E79" s="1" t="s">
        <v>55</v>
      </c>
      <c r="F79" s="2" t="s">
        <v>56</v>
      </c>
      <c r="G79" s="3">
        <v>46248.708333333336</v>
      </c>
      <c r="H79" s="3">
        <v>46248.958333333336</v>
      </c>
      <c r="I79" s="1">
        <v>6</v>
      </c>
      <c r="J79" s="1" t="s">
        <v>15</v>
      </c>
      <c r="K79" s="1">
        <v>0</v>
      </c>
    </row>
    <row r="80" spans="1:11" x14ac:dyDescent="0.25">
      <c r="A80" s="1" t="s">
        <v>161</v>
      </c>
      <c r="B80" s="1" t="s">
        <v>51</v>
      </c>
      <c r="D80" s="1" t="s">
        <v>12</v>
      </c>
      <c r="E80" s="1" t="s">
        <v>80</v>
      </c>
      <c r="F80" s="2" t="s">
        <v>14</v>
      </c>
      <c r="G80" s="3">
        <v>46248.666666666664</v>
      </c>
      <c r="H80" s="3">
        <v>46248.708333333328</v>
      </c>
      <c r="I80" s="1">
        <v>1</v>
      </c>
      <c r="J80" s="1" t="s">
        <v>15</v>
      </c>
      <c r="K80" s="1">
        <v>0</v>
      </c>
    </row>
    <row r="81" spans="1:11" x14ac:dyDescent="0.25">
      <c r="A81" s="1" t="s">
        <v>153</v>
      </c>
      <c r="B81" s="1" t="s">
        <v>101</v>
      </c>
      <c r="D81" s="1" t="s">
        <v>12</v>
      </c>
      <c r="E81" s="1" t="s">
        <v>19</v>
      </c>
      <c r="F81" s="2" t="s">
        <v>14</v>
      </c>
      <c r="G81" s="3">
        <v>46248.708333333336</v>
      </c>
      <c r="H81" s="3">
        <v>46248.770833333336</v>
      </c>
      <c r="I81" s="1">
        <v>1.5</v>
      </c>
      <c r="J81" s="1" t="s">
        <v>15</v>
      </c>
      <c r="K81" s="1">
        <v>0</v>
      </c>
    </row>
    <row r="82" spans="1:11" x14ac:dyDescent="0.25">
      <c r="A82" s="1" t="s">
        <v>167</v>
      </c>
      <c r="B82" s="1" t="s">
        <v>102</v>
      </c>
      <c r="D82" s="1" t="s">
        <v>12</v>
      </c>
      <c r="E82" s="1" t="s">
        <v>17</v>
      </c>
      <c r="F82" s="2" t="s">
        <v>14</v>
      </c>
      <c r="G82" s="3">
        <v>46248.708333333336</v>
      </c>
      <c r="H82" s="3">
        <v>46248.770833333336</v>
      </c>
      <c r="I82" s="1">
        <v>1.5</v>
      </c>
      <c r="J82" s="1" t="s">
        <v>15</v>
      </c>
      <c r="K82" s="1">
        <v>0</v>
      </c>
    </row>
    <row r="83" spans="1:11" x14ac:dyDescent="0.25">
      <c r="A83" s="1" t="s">
        <v>156</v>
      </c>
      <c r="B83" s="1" t="s">
        <v>103</v>
      </c>
      <c r="C83" s="1" t="s">
        <v>82</v>
      </c>
      <c r="D83" s="1" t="s">
        <v>12</v>
      </c>
      <c r="E83" s="1" t="s">
        <v>28</v>
      </c>
      <c r="F83" s="2" t="s">
        <v>14</v>
      </c>
      <c r="G83" s="3">
        <v>46248.708333333336</v>
      </c>
      <c r="H83" s="3">
        <v>46248.791666666672</v>
      </c>
      <c r="I83" s="1">
        <v>2</v>
      </c>
      <c r="J83" s="1" t="s">
        <v>15</v>
      </c>
      <c r="K83" s="1">
        <v>0</v>
      </c>
    </row>
    <row r="84" spans="1:11" x14ac:dyDescent="0.25">
      <c r="A84" s="1" t="s">
        <v>163</v>
      </c>
      <c r="B84" s="1" t="s">
        <v>104</v>
      </c>
      <c r="D84" s="1" t="s">
        <v>12</v>
      </c>
      <c r="E84" s="1" t="s">
        <v>22</v>
      </c>
      <c r="F84" s="2" t="s">
        <v>14</v>
      </c>
      <c r="G84" s="3">
        <v>46248.729166666664</v>
      </c>
      <c r="H84" s="3">
        <v>46248.791666666664</v>
      </c>
      <c r="I84" s="1">
        <v>1.5</v>
      </c>
      <c r="J84" s="1" t="s">
        <v>15</v>
      </c>
      <c r="K84" s="1">
        <v>0</v>
      </c>
    </row>
    <row r="85" spans="1:11" x14ac:dyDescent="0.25">
      <c r="A85" s="1" t="s">
        <v>153</v>
      </c>
      <c r="B85" s="1" t="s">
        <v>105</v>
      </c>
      <c r="D85" s="1" t="s">
        <v>12</v>
      </c>
      <c r="E85" s="1" t="s">
        <v>66</v>
      </c>
      <c r="F85" s="2" t="s">
        <v>14</v>
      </c>
      <c r="G85" s="3">
        <v>46248.729166666664</v>
      </c>
      <c r="H85" s="3">
        <v>46248.770833333328</v>
      </c>
      <c r="I85" s="1">
        <v>1</v>
      </c>
      <c r="J85" s="1" t="s">
        <v>15</v>
      </c>
      <c r="K85" s="1">
        <v>0</v>
      </c>
    </row>
    <row r="86" spans="1:11" x14ac:dyDescent="0.25">
      <c r="A86" s="1" t="s">
        <v>159</v>
      </c>
      <c r="B86" s="1" t="s">
        <v>40</v>
      </c>
      <c r="D86" s="1" t="s">
        <v>12</v>
      </c>
      <c r="E86" s="1" t="s">
        <v>41</v>
      </c>
      <c r="F86" s="2" t="s">
        <v>14</v>
      </c>
      <c r="G86" s="3">
        <v>46248.75</v>
      </c>
      <c r="H86" s="3">
        <v>46248.791666666664</v>
      </c>
      <c r="I86" s="1">
        <v>1</v>
      </c>
      <c r="J86" s="1" t="s">
        <v>15</v>
      </c>
      <c r="K86" s="1">
        <v>0</v>
      </c>
    </row>
    <row r="87" spans="1:11" x14ac:dyDescent="0.25">
      <c r="A87" s="1" t="s">
        <v>157</v>
      </c>
      <c r="B87" s="1" t="s">
        <v>32</v>
      </c>
      <c r="D87" s="1" t="s">
        <v>12</v>
      </c>
      <c r="E87" s="1" t="s">
        <v>17</v>
      </c>
      <c r="F87" s="2" t="s">
        <v>14</v>
      </c>
      <c r="G87" s="3">
        <v>46248.791666666664</v>
      </c>
      <c r="H87" s="3">
        <v>46248.833333333328</v>
      </c>
      <c r="I87" s="1">
        <v>1</v>
      </c>
      <c r="J87" s="1" t="s">
        <v>15</v>
      </c>
      <c r="K87" s="1">
        <v>0</v>
      </c>
    </row>
    <row r="88" spans="1:11" x14ac:dyDescent="0.25">
      <c r="A88" s="1" t="s">
        <v>168</v>
      </c>
      <c r="B88" s="1" t="s">
        <v>106</v>
      </c>
      <c r="D88" s="1" t="s">
        <v>12</v>
      </c>
      <c r="E88" s="1" t="s">
        <v>34</v>
      </c>
      <c r="F88" s="2" t="s">
        <v>14</v>
      </c>
      <c r="G88" s="3">
        <v>46248.791666666664</v>
      </c>
      <c r="H88" s="3">
        <v>46248.854166666664</v>
      </c>
      <c r="I88" s="1">
        <v>1.5</v>
      </c>
      <c r="J88" s="1" t="s">
        <v>15</v>
      </c>
      <c r="K88" s="1">
        <v>0</v>
      </c>
    </row>
    <row r="89" spans="1:11" x14ac:dyDescent="0.25">
      <c r="A89" s="1" t="s">
        <v>152</v>
      </c>
      <c r="B89" s="1" t="s">
        <v>107</v>
      </c>
      <c r="D89" s="1" t="s">
        <v>12</v>
      </c>
      <c r="E89" s="1" t="s">
        <v>19</v>
      </c>
      <c r="F89" s="2" t="s">
        <v>60</v>
      </c>
      <c r="G89" s="3">
        <v>46248.791666666664</v>
      </c>
      <c r="H89" s="3">
        <v>46248.875</v>
      </c>
      <c r="I89" s="1">
        <v>2</v>
      </c>
      <c r="J89" s="1" t="s">
        <v>15</v>
      </c>
      <c r="K89" s="1">
        <v>0</v>
      </c>
    </row>
    <row r="90" spans="1:11" x14ac:dyDescent="0.25">
      <c r="A90" s="1" t="s">
        <v>156</v>
      </c>
      <c r="B90" s="1" t="s">
        <v>108</v>
      </c>
      <c r="D90" s="1" t="s">
        <v>12</v>
      </c>
      <c r="E90" s="1" t="s">
        <v>34</v>
      </c>
      <c r="F90" s="2" t="s">
        <v>64</v>
      </c>
      <c r="G90" s="3">
        <v>46248.854166666664</v>
      </c>
      <c r="H90" s="3">
        <v>46248.958333333328</v>
      </c>
      <c r="I90" s="1">
        <v>2.5</v>
      </c>
      <c r="J90" s="1" t="s">
        <v>15</v>
      </c>
      <c r="K90" s="1">
        <v>0</v>
      </c>
    </row>
    <row r="91" spans="1:11" x14ac:dyDescent="0.25">
      <c r="A91" s="1" t="s">
        <v>157</v>
      </c>
      <c r="B91" s="1" t="s">
        <v>109</v>
      </c>
      <c r="D91" s="1" t="s">
        <v>12</v>
      </c>
      <c r="E91" s="1" t="s">
        <v>34</v>
      </c>
      <c r="F91" s="2" t="s">
        <v>14</v>
      </c>
      <c r="G91" s="3">
        <v>46249.375</v>
      </c>
      <c r="H91" s="3">
        <v>46249.416666666664</v>
      </c>
      <c r="I91" s="1">
        <v>1</v>
      </c>
      <c r="J91" s="1" t="s">
        <v>15</v>
      </c>
      <c r="K91" s="1">
        <v>0</v>
      </c>
    </row>
    <row r="92" spans="1:11" x14ac:dyDescent="0.25">
      <c r="A92" s="1" t="s">
        <v>153</v>
      </c>
      <c r="B92" s="1" t="s">
        <v>110</v>
      </c>
      <c r="D92" s="1" t="s">
        <v>12</v>
      </c>
      <c r="E92" s="1" t="s">
        <v>19</v>
      </c>
      <c r="F92" s="2" t="s">
        <v>14</v>
      </c>
      <c r="G92" s="3">
        <v>46249.375</v>
      </c>
      <c r="H92" s="3">
        <v>46249.416666666664</v>
      </c>
      <c r="I92" s="1">
        <v>1</v>
      </c>
      <c r="J92" s="1" t="s">
        <v>15</v>
      </c>
      <c r="K92" s="1">
        <v>0</v>
      </c>
    </row>
    <row r="93" spans="1:11" x14ac:dyDescent="0.25">
      <c r="A93" s="1" t="s">
        <v>153</v>
      </c>
      <c r="B93" s="1" t="s">
        <v>111</v>
      </c>
      <c r="D93" s="1" t="s">
        <v>12</v>
      </c>
      <c r="E93" s="1" t="s">
        <v>46</v>
      </c>
      <c r="F93" s="2" t="s">
        <v>14</v>
      </c>
      <c r="G93" s="3">
        <v>46249.375</v>
      </c>
      <c r="H93" s="3">
        <v>46249.416666666664</v>
      </c>
      <c r="I93" s="1">
        <v>1</v>
      </c>
      <c r="J93" s="1" t="s">
        <v>15</v>
      </c>
      <c r="K93" s="1">
        <v>0</v>
      </c>
    </row>
    <row r="94" spans="1:11" x14ac:dyDescent="0.25">
      <c r="A94" s="1" t="s">
        <v>152</v>
      </c>
      <c r="B94" s="1" t="s">
        <v>112</v>
      </c>
      <c r="D94" s="1" t="s">
        <v>12</v>
      </c>
      <c r="E94" s="1" t="s">
        <v>19</v>
      </c>
      <c r="F94" s="2" t="s">
        <v>14</v>
      </c>
      <c r="G94" s="3">
        <v>46249.416666666664</v>
      </c>
      <c r="H94" s="3">
        <v>46249.5</v>
      </c>
      <c r="I94" s="1">
        <v>2</v>
      </c>
      <c r="J94" s="1" t="s">
        <v>15</v>
      </c>
      <c r="K94" s="1">
        <v>0</v>
      </c>
    </row>
    <row r="95" spans="1:11" x14ac:dyDescent="0.25">
      <c r="A95" s="1" t="s">
        <v>157</v>
      </c>
      <c r="B95" s="1" t="s">
        <v>113</v>
      </c>
      <c r="D95" s="1" t="s">
        <v>12</v>
      </c>
      <c r="E95" s="1" t="s">
        <v>22</v>
      </c>
      <c r="F95" s="2" t="s">
        <v>14</v>
      </c>
      <c r="G95" s="3">
        <v>46249.458333333336</v>
      </c>
      <c r="H95" s="3">
        <v>46249.520833333336</v>
      </c>
      <c r="I95" s="1">
        <v>1.5</v>
      </c>
      <c r="J95" s="1" t="s">
        <v>15</v>
      </c>
      <c r="K95" s="1">
        <v>0</v>
      </c>
    </row>
    <row r="96" spans="1:11" x14ac:dyDescent="0.25">
      <c r="A96" s="1" t="s">
        <v>165</v>
      </c>
      <c r="B96" s="1" t="s">
        <v>114</v>
      </c>
      <c r="D96" s="1" t="s">
        <v>12</v>
      </c>
      <c r="E96" s="1" t="s">
        <v>13</v>
      </c>
      <c r="F96" s="2" t="s">
        <v>14</v>
      </c>
      <c r="G96" s="3">
        <v>46249.5</v>
      </c>
      <c r="H96" s="3">
        <v>46249.541666666664</v>
      </c>
      <c r="I96" s="1">
        <v>1</v>
      </c>
      <c r="J96" s="1" t="s">
        <v>15</v>
      </c>
      <c r="K96" s="1">
        <v>0</v>
      </c>
    </row>
    <row r="97" spans="1:11" x14ac:dyDescent="0.25">
      <c r="A97" s="1" t="s">
        <v>157</v>
      </c>
      <c r="B97" s="1" t="s">
        <v>115</v>
      </c>
      <c r="D97" s="1" t="s">
        <v>12</v>
      </c>
      <c r="E97" s="1" t="s">
        <v>17</v>
      </c>
      <c r="F97" s="2" t="s">
        <v>14</v>
      </c>
      <c r="G97" s="3">
        <v>46249.5</v>
      </c>
      <c r="H97" s="3">
        <v>46249.520833333336</v>
      </c>
      <c r="I97" s="1">
        <v>0.5</v>
      </c>
      <c r="J97" s="1" t="s">
        <v>15</v>
      </c>
      <c r="K97" s="1">
        <v>0</v>
      </c>
    </row>
    <row r="98" spans="1:11" x14ac:dyDescent="0.25">
      <c r="A98" s="1" t="s">
        <v>162</v>
      </c>
      <c r="B98" s="1" t="s">
        <v>54</v>
      </c>
      <c r="D98" s="1" t="s">
        <v>12</v>
      </c>
      <c r="E98" s="1" t="s">
        <v>55</v>
      </c>
      <c r="F98" s="2" t="s">
        <v>56</v>
      </c>
      <c r="G98" s="3">
        <v>46249.541666666664</v>
      </c>
      <c r="H98" s="3">
        <v>46249.958333333328</v>
      </c>
      <c r="I98" s="1">
        <v>10</v>
      </c>
      <c r="J98" s="1" t="s">
        <v>15</v>
      </c>
      <c r="K98" s="1">
        <v>0</v>
      </c>
    </row>
    <row r="99" spans="1:11" x14ac:dyDescent="0.25">
      <c r="A99" s="1" t="s">
        <v>162</v>
      </c>
      <c r="B99" s="1" t="s">
        <v>73</v>
      </c>
      <c r="D99" s="1" t="s">
        <v>12</v>
      </c>
      <c r="E99" s="1" t="s">
        <v>55</v>
      </c>
      <c r="F99" s="2" t="s">
        <v>116</v>
      </c>
      <c r="G99" s="3">
        <v>46249.541666666664</v>
      </c>
      <c r="H99" s="3">
        <v>46249.958333333328</v>
      </c>
      <c r="I99" s="1">
        <v>10</v>
      </c>
      <c r="J99" s="1" t="s">
        <v>15</v>
      </c>
      <c r="K99" s="1">
        <v>0</v>
      </c>
    </row>
    <row r="100" spans="1:11" x14ac:dyDescent="0.25">
      <c r="A100" s="1" t="s">
        <v>159</v>
      </c>
      <c r="B100" s="1" t="s">
        <v>40</v>
      </c>
      <c r="D100" s="1" t="s">
        <v>12</v>
      </c>
      <c r="E100" s="1" t="s">
        <v>41</v>
      </c>
      <c r="F100" s="2" t="s">
        <v>14</v>
      </c>
      <c r="G100" s="3">
        <v>46249.541666666664</v>
      </c>
      <c r="H100" s="3">
        <v>46249.583333333328</v>
      </c>
      <c r="I100" s="1">
        <v>1</v>
      </c>
      <c r="J100" s="1" t="s">
        <v>15</v>
      </c>
      <c r="K100" s="1">
        <v>0</v>
      </c>
    </row>
    <row r="101" spans="1:11" x14ac:dyDescent="0.25">
      <c r="A101" s="1" t="s">
        <v>156</v>
      </c>
      <c r="B101" s="1" t="s">
        <v>117</v>
      </c>
      <c r="D101" s="1" t="s">
        <v>12</v>
      </c>
      <c r="E101" s="1" t="s">
        <v>34</v>
      </c>
      <c r="F101" s="2" t="s">
        <v>14</v>
      </c>
      <c r="G101" s="3">
        <v>46249.541666666664</v>
      </c>
      <c r="H101" s="3">
        <v>46249.583333333328</v>
      </c>
      <c r="I101" s="1">
        <v>1</v>
      </c>
      <c r="J101" s="1" t="s">
        <v>15</v>
      </c>
      <c r="K101" s="1">
        <v>0</v>
      </c>
    </row>
    <row r="102" spans="1:11" x14ac:dyDescent="0.25">
      <c r="A102" s="1" t="s">
        <v>157</v>
      </c>
      <c r="B102" s="1" t="s">
        <v>118</v>
      </c>
      <c r="D102" s="1" t="s">
        <v>12</v>
      </c>
      <c r="E102" s="1" t="s">
        <v>22</v>
      </c>
      <c r="F102" s="2" t="s">
        <v>14</v>
      </c>
      <c r="G102" s="3">
        <v>46249.583333333336</v>
      </c>
      <c r="H102" s="3">
        <v>46249.645833333336</v>
      </c>
      <c r="I102" s="1">
        <v>1.5</v>
      </c>
      <c r="J102" s="1" t="s">
        <v>15</v>
      </c>
      <c r="K102" s="1">
        <v>0</v>
      </c>
    </row>
    <row r="103" spans="1:11" x14ac:dyDescent="0.25">
      <c r="A103" s="1" t="s">
        <v>157</v>
      </c>
      <c r="B103" s="1" t="s">
        <v>119</v>
      </c>
      <c r="D103" s="1" t="s">
        <v>12</v>
      </c>
      <c r="E103" s="1" t="s">
        <v>34</v>
      </c>
      <c r="F103" s="2" t="s">
        <v>14</v>
      </c>
      <c r="G103" s="3">
        <v>46249.604166666664</v>
      </c>
      <c r="H103" s="3">
        <v>46249.645833333328</v>
      </c>
      <c r="I103" s="1">
        <v>1</v>
      </c>
      <c r="J103" s="1" t="s">
        <v>15</v>
      </c>
      <c r="K103" s="1">
        <v>0</v>
      </c>
    </row>
    <row r="104" spans="1:11" x14ac:dyDescent="0.25">
      <c r="A104" s="1" t="s">
        <v>169</v>
      </c>
      <c r="B104" s="1" t="s">
        <v>120</v>
      </c>
      <c r="D104" s="1" t="s">
        <v>12</v>
      </c>
      <c r="E104" s="1" t="s">
        <v>121</v>
      </c>
      <c r="F104" s="2" t="s">
        <v>14</v>
      </c>
      <c r="G104" s="3">
        <v>46249.666666666664</v>
      </c>
      <c r="H104" s="3">
        <v>46249.729166666664</v>
      </c>
      <c r="I104" s="1">
        <v>1.5</v>
      </c>
      <c r="J104" s="1" t="s">
        <v>15</v>
      </c>
      <c r="K104" s="1">
        <v>0</v>
      </c>
    </row>
    <row r="105" spans="1:11" x14ac:dyDescent="0.25">
      <c r="A105" s="1" t="s">
        <v>156</v>
      </c>
      <c r="B105" s="1" t="s">
        <v>122</v>
      </c>
      <c r="C105" s="1" t="s">
        <v>82</v>
      </c>
      <c r="D105" s="1" t="s">
        <v>12</v>
      </c>
      <c r="E105" s="1" t="s">
        <v>28</v>
      </c>
      <c r="F105" s="2" t="s">
        <v>14</v>
      </c>
      <c r="G105" s="3">
        <v>46249.75</v>
      </c>
      <c r="H105" s="3">
        <v>46249.833333333336</v>
      </c>
      <c r="I105" s="1">
        <v>2</v>
      </c>
      <c r="J105" s="1" t="s">
        <v>15</v>
      </c>
      <c r="K105" s="1">
        <v>0</v>
      </c>
    </row>
    <row r="106" spans="1:11" x14ac:dyDescent="0.25">
      <c r="A106" s="1" t="s">
        <v>153</v>
      </c>
      <c r="B106" s="1" t="s">
        <v>123</v>
      </c>
      <c r="D106" s="1" t="s">
        <v>12</v>
      </c>
      <c r="E106" s="1" t="s">
        <v>19</v>
      </c>
      <c r="F106" s="2" t="s">
        <v>14</v>
      </c>
      <c r="G106" s="3">
        <v>46249.708333333336</v>
      </c>
      <c r="H106" s="3">
        <v>46249.75</v>
      </c>
      <c r="I106" s="1">
        <v>1</v>
      </c>
      <c r="J106" s="1" t="s">
        <v>15</v>
      </c>
      <c r="K106" s="1">
        <v>0</v>
      </c>
    </row>
    <row r="107" spans="1:11" x14ac:dyDescent="0.25">
      <c r="A107" s="1" t="s">
        <v>157</v>
      </c>
      <c r="B107" s="1" t="s">
        <v>124</v>
      </c>
      <c r="D107" s="1" t="s">
        <v>12</v>
      </c>
      <c r="E107" s="1" t="s">
        <v>34</v>
      </c>
      <c r="F107" s="2" t="s">
        <v>14</v>
      </c>
      <c r="G107" s="3">
        <v>46249.75</v>
      </c>
      <c r="H107" s="3">
        <v>46249.791666666664</v>
      </c>
      <c r="I107" s="1">
        <v>1</v>
      </c>
      <c r="J107" s="1" t="s">
        <v>15</v>
      </c>
      <c r="K107" s="1">
        <v>0</v>
      </c>
    </row>
    <row r="108" spans="1:11" x14ac:dyDescent="0.25">
      <c r="A108" s="1" t="s">
        <v>167</v>
      </c>
      <c r="B108" s="1" t="s">
        <v>102</v>
      </c>
      <c r="D108" s="1" t="s">
        <v>12</v>
      </c>
      <c r="E108" s="1" t="s">
        <v>17</v>
      </c>
      <c r="F108" s="2" t="s">
        <v>14</v>
      </c>
      <c r="G108" s="3">
        <v>46249.770833333336</v>
      </c>
      <c r="H108" s="3">
        <v>46249.833333333336</v>
      </c>
      <c r="I108" s="1">
        <v>1.5</v>
      </c>
      <c r="J108" s="1" t="s">
        <v>15</v>
      </c>
      <c r="K108" s="1">
        <v>0</v>
      </c>
    </row>
    <row r="109" spans="1:11" x14ac:dyDescent="0.25">
      <c r="A109" s="1" t="s">
        <v>166</v>
      </c>
      <c r="B109" s="1" t="s">
        <v>125</v>
      </c>
      <c r="D109" s="1" t="s">
        <v>12</v>
      </c>
      <c r="E109" s="1" t="s">
        <v>19</v>
      </c>
      <c r="F109" s="2" t="s">
        <v>60</v>
      </c>
      <c r="G109" s="3">
        <v>46249.791666666664</v>
      </c>
      <c r="H109" s="3">
        <v>46249.833333333328</v>
      </c>
      <c r="I109" s="1">
        <v>1</v>
      </c>
      <c r="J109" s="1" t="s">
        <v>15</v>
      </c>
      <c r="K109" s="1">
        <v>0</v>
      </c>
    </row>
    <row r="110" spans="1:11" x14ac:dyDescent="0.25">
      <c r="A110" s="1" t="s">
        <v>156</v>
      </c>
      <c r="B110" s="1" t="s">
        <v>126</v>
      </c>
      <c r="D110" s="1" t="s">
        <v>12</v>
      </c>
      <c r="E110" s="1" t="s">
        <v>34</v>
      </c>
      <c r="F110" s="2" t="s">
        <v>64</v>
      </c>
      <c r="G110" s="3">
        <v>46249.854166666664</v>
      </c>
      <c r="H110" s="3">
        <v>46249.916666666664</v>
      </c>
      <c r="I110" s="1">
        <v>1.5</v>
      </c>
      <c r="J110" s="1" t="s">
        <v>15</v>
      </c>
      <c r="K110" s="1">
        <v>0</v>
      </c>
    </row>
    <row r="111" spans="1:11" x14ac:dyDescent="0.25">
      <c r="A111" s="1" t="s">
        <v>153</v>
      </c>
      <c r="B111" s="1" t="s">
        <v>127</v>
      </c>
      <c r="D111" s="1" t="s">
        <v>12</v>
      </c>
      <c r="E111" s="1" t="s">
        <v>19</v>
      </c>
      <c r="F111" s="2" t="s">
        <v>14</v>
      </c>
      <c r="G111" s="3">
        <v>46250.375</v>
      </c>
      <c r="H111" s="3">
        <v>46250.416666666664</v>
      </c>
      <c r="I111" s="1">
        <v>1</v>
      </c>
      <c r="J111" s="1" t="s">
        <v>15</v>
      </c>
      <c r="K111" s="1">
        <v>0</v>
      </c>
    </row>
    <row r="112" spans="1:11" x14ac:dyDescent="0.25">
      <c r="A112" s="1" t="s">
        <v>153</v>
      </c>
      <c r="B112" s="1" t="s">
        <v>128</v>
      </c>
      <c r="D112" s="1" t="s">
        <v>12</v>
      </c>
      <c r="E112" s="1" t="s">
        <v>46</v>
      </c>
      <c r="F112" s="2" t="s">
        <v>14</v>
      </c>
      <c r="G112" s="3">
        <v>46250.375</v>
      </c>
      <c r="H112" s="3">
        <v>46250.416666666664</v>
      </c>
      <c r="I112" s="1">
        <v>1</v>
      </c>
      <c r="J112" s="1" t="s">
        <v>15</v>
      </c>
      <c r="K112" s="1">
        <v>0</v>
      </c>
    </row>
    <row r="113" spans="1:11" x14ac:dyDescent="0.25">
      <c r="A113" s="1" t="s">
        <v>153</v>
      </c>
      <c r="B113" s="1" t="s">
        <v>129</v>
      </c>
      <c r="D113" s="1" t="s">
        <v>12</v>
      </c>
      <c r="E113" s="1" t="s">
        <v>22</v>
      </c>
      <c r="F113" s="2" t="s">
        <v>14</v>
      </c>
      <c r="G113" s="3">
        <v>46250.416666666664</v>
      </c>
      <c r="H113" s="3">
        <v>46250.458333333328</v>
      </c>
      <c r="I113" s="1">
        <v>1</v>
      </c>
      <c r="J113" s="1" t="s">
        <v>15</v>
      </c>
      <c r="K113" s="1">
        <v>0</v>
      </c>
    </row>
    <row r="114" spans="1:11" x14ac:dyDescent="0.25">
      <c r="A114" s="1" t="s">
        <v>157</v>
      </c>
      <c r="B114" s="1" t="s">
        <v>130</v>
      </c>
      <c r="D114" s="1" t="s">
        <v>12</v>
      </c>
      <c r="E114" s="1" t="s">
        <v>19</v>
      </c>
      <c r="F114" s="2" t="s">
        <v>14</v>
      </c>
      <c r="G114" s="3">
        <v>46250.458333333336</v>
      </c>
      <c r="H114" s="3">
        <v>46250.5</v>
      </c>
      <c r="I114" s="1">
        <v>1</v>
      </c>
      <c r="J114" s="1" t="s">
        <v>15</v>
      </c>
      <c r="K114" s="1">
        <v>0</v>
      </c>
    </row>
    <row r="115" spans="1:11" x14ac:dyDescent="0.25">
      <c r="A115" s="1" t="s">
        <v>170</v>
      </c>
      <c r="B115" s="1" t="s">
        <v>131</v>
      </c>
      <c r="D115" s="1" t="s">
        <v>12</v>
      </c>
      <c r="E115" s="1" t="s">
        <v>22</v>
      </c>
      <c r="F115" s="2" t="s">
        <v>14</v>
      </c>
      <c r="G115" s="3">
        <v>46250.458333333336</v>
      </c>
      <c r="H115" s="3">
        <v>46250.5</v>
      </c>
      <c r="I115" s="1">
        <v>1</v>
      </c>
      <c r="J115" s="1" t="s">
        <v>15</v>
      </c>
      <c r="K115" s="1">
        <v>0</v>
      </c>
    </row>
    <row r="116" spans="1:11" x14ac:dyDescent="0.25">
      <c r="A116" s="1" t="s">
        <v>157</v>
      </c>
      <c r="B116" s="1" t="s">
        <v>132</v>
      </c>
      <c r="D116" s="1" t="s">
        <v>12</v>
      </c>
      <c r="E116" s="1" t="s">
        <v>80</v>
      </c>
      <c r="F116" s="2" t="s">
        <v>14</v>
      </c>
      <c r="G116" s="3">
        <v>46250.5</v>
      </c>
      <c r="H116" s="3">
        <v>46250.541666666664</v>
      </c>
      <c r="I116" s="1">
        <v>1</v>
      </c>
      <c r="J116" s="1" t="s">
        <v>15</v>
      </c>
      <c r="K116" s="1">
        <v>0</v>
      </c>
    </row>
    <row r="117" spans="1:11" x14ac:dyDescent="0.25">
      <c r="A117" s="1" t="s">
        <v>157</v>
      </c>
      <c r="B117" s="1" t="s">
        <v>72</v>
      </c>
      <c r="D117" s="1" t="s">
        <v>12</v>
      </c>
      <c r="E117" s="1" t="s">
        <v>22</v>
      </c>
      <c r="F117" s="2" t="s">
        <v>14</v>
      </c>
      <c r="G117" s="3">
        <v>46250.5</v>
      </c>
      <c r="H117" s="3">
        <v>46250.541666666664</v>
      </c>
      <c r="I117" s="1">
        <v>1</v>
      </c>
      <c r="J117" s="1" t="s">
        <v>15</v>
      </c>
      <c r="K117" s="1">
        <v>0</v>
      </c>
    </row>
    <row r="118" spans="1:11" x14ac:dyDescent="0.25">
      <c r="A118" s="1" t="s">
        <v>156</v>
      </c>
      <c r="B118" s="1" t="s">
        <v>133</v>
      </c>
      <c r="C118" s="1" t="s">
        <v>82</v>
      </c>
      <c r="D118" s="1" t="s">
        <v>12</v>
      </c>
      <c r="E118" s="1" t="s">
        <v>28</v>
      </c>
      <c r="F118" s="2" t="s">
        <v>14</v>
      </c>
      <c r="G118" s="3">
        <v>46250.541666666664</v>
      </c>
      <c r="H118" s="3">
        <v>46250.625</v>
      </c>
      <c r="I118" s="1">
        <v>2</v>
      </c>
      <c r="J118" s="1" t="s">
        <v>15</v>
      </c>
      <c r="K118" s="1">
        <v>0</v>
      </c>
    </row>
    <row r="119" spans="1:11" x14ac:dyDescent="0.25">
      <c r="A119" s="1" t="s">
        <v>162</v>
      </c>
      <c r="B119" s="1" t="s">
        <v>73</v>
      </c>
      <c r="D119" s="1" t="s">
        <v>12</v>
      </c>
      <c r="E119" s="1" t="s">
        <v>55</v>
      </c>
      <c r="F119" s="2" t="s">
        <v>116</v>
      </c>
      <c r="G119" s="3">
        <v>46250.541666666664</v>
      </c>
      <c r="H119" s="3">
        <v>46250.583333333328</v>
      </c>
      <c r="I119" s="1">
        <v>1</v>
      </c>
      <c r="J119" s="1" t="s">
        <v>15</v>
      </c>
      <c r="K119" s="1">
        <v>0</v>
      </c>
    </row>
    <row r="120" spans="1:11" x14ac:dyDescent="0.25">
      <c r="A120" s="1" t="s">
        <v>162</v>
      </c>
      <c r="B120" s="1" t="s">
        <v>54</v>
      </c>
      <c r="D120" s="1" t="s">
        <v>12</v>
      </c>
      <c r="E120" s="1" t="s">
        <v>55</v>
      </c>
      <c r="F120" s="2" t="s">
        <v>56</v>
      </c>
      <c r="G120" s="3">
        <v>46250.541666666664</v>
      </c>
      <c r="H120" s="3">
        <v>46250.583333333328</v>
      </c>
      <c r="I120" s="1">
        <v>1</v>
      </c>
      <c r="J120" s="1" t="s">
        <v>15</v>
      </c>
      <c r="K120" s="1">
        <v>0</v>
      </c>
    </row>
    <row r="121" spans="1:11" x14ac:dyDescent="0.25">
      <c r="A121" s="1" t="s">
        <v>157</v>
      </c>
      <c r="B121" s="1" t="s">
        <v>134</v>
      </c>
      <c r="D121" s="1" t="s">
        <v>12</v>
      </c>
      <c r="E121" s="1" t="s">
        <v>17</v>
      </c>
      <c r="F121" s="2" t="s">
        <v>14</v>
      </c>
      <c r="G121" s="3">
        <v>46250.541666666664</v>
      </c>
      <c r="H121" s="3">
        <v>46250.583333333328</v>
      </c>
      <c r="I121" s="1">
        <v>1</v>
      </c>
      <c r="J121" s="1" t="s">
        <v>15</v>
      </c>
      <c r="K121" s="1">
        <v>0</v>
      </c>
    </row>
    <row r="122" spans="1:11" x14ac:dyDescent="0.25">
      <c r="A122" s="1" t="s">
        <v>152</v>
      </c>
      <c r="B122" s="1" t="s">
        <v>107</v>
      </c>
      <c r="D122" s="1" t="s">
        <v>12</v>
      </c>
      <c r="E122" s="1" t="s">
        <v>19</v>
      </c>
      <c r="F122" s="2" t="s">
        <v>60</v>
      </c>
      <c r="G122" s="3">
        <v>46250.625</v>
      </c>
      <c r="H122" s="3">
        <v>46250.666666666664</v>
      </c>
      <c r="I122" s="1">
        <v>1</v>
      </c>
      <c r="J122" s="1" t="s">
        <v>15</v>
      </c>
      <c r="K122" s="1">
        <v>0</v>
      </c>
    </row>
    <row r="123" spans="1:11" x14ac:dyDescent="0.25">
      <c r="A123" s="1" t="s">
        <v>151</v>
      </c>
      <c r="B123" s="1" t="s">
        <v>135</v>
      </c>
      <c r="D123" s="1" t="s">
        <v>12</v>
      </c>
      <c r="E123" s="1" t="s">
        <v>46</v>
      </c>
      <c r="F123" s="2" t="s">
        <v>14</v>
      </c>
      <c r="G123" s="3">
        <v>46250.666666666664</v>
      </c>
      <c r="H123" s="3">
        <v>46250.708333333328</v>
      </c>
      <c r="I123" s="1">
        <v>1</v>
      </c>
      <c r="J123" s="1" t="s">
        <v>15</v>
      </c>
      <c r="K123" s="1">
        <v>0</v>
      </c>
    </row>
    <row r="124" spans="1:11" x14ac:dyDescent="0.25">
      <c r="A124" s="1" t="s">
        <v>160</v>
      </c>
      <c r="B124" s="5" t="s">
        <v>136</v>
      </c>
      <c r="D124" s="1" t="s">
        <v>12</v>
      </c>
      <c r="E124" s="1" t="s">
        <v>17</v>
      </c>
      <c r="F124" s="2" t="s">
        <v>14</v>
      </c>
      <c r="G124" s="3">
        <v>46244.416666666664</v>
      </c>
      <c r="H124" s="3">
        <v>46244.916666666664</v>
      </c>
      <c r="I124" s="1">
        <v>12</v>
      </c>
      <c r="J124" s="1" t="s">
        <v>15</v>
      </c>
      <c r="K124" s="1">
        <v>0</v>
      </c>
    </row>
    <row r="125" spans="1:11" x14ac:dyDescent="0.25">
      <c r="A125" s="1" t="s">
        <v>160</v>
      </c>
      <c r="B125" s="5" t="s">
        <v>136</v>
      </c>
      <c r="D125" s="1" t="s">
        <v>12</v>
      </c>
      <c r="E125" s="1" t="s">
        <v>17</v>
      </c>
      <c r="F125" s="2" t="s">
        <v>14</v>
      </c>
      <c r="G125" s="3">
        <v>46245.416666666664</v>
      </c>
      <c r="H125" s="3">
        <v>46245.916666666664</v>
      </c>
      <c r="I125" s="1">
        <v>12</v>
      </c>
      <c r="J125" s="1" t="s">
        <v>15</v>
      </c>
      <c r="K125" s="1">
        <v>0</v>
      </c>
    </row>
    <row r="126" spans="1:11" x14ac:dyDescent="0.25">
      <c r="A126" s="1" t="s">
        <v>160</v>
      </c>
      <c r="B126" s="5" t="s">
        <v>136</v>
      </c>
      <c r="D126" s="1" t="s">
        <v>12</v>
      </c>
      <c r="E126" s="1" t="s">
        <v>17</v>
      </c>
      <c r="F126" s="2" t="s">
        <v>14</v>
      </c>
      <c r="G126" s="3">
        <v>46246.416666666664</v>
      </c>
      <c r="H126" s="3">
        <v>46246.916666666664</v>
      </c>
      <c r="I126" s="1">
        <v>12</v>
      </c>
      <c r="J126" s="1" t="s">
        <v>15</v>
      </c>
      <c r="K126" s="1">
        <v>0</v>
      </c>
    </row>
    <row r="127" spans="1:11" x14ac:dyDescent="0.25">
      <c r="A127" s="1" t="s">
        <v>160</v>
      </c>
      <c r="B127" s="5" t="s">
        <v>136</v>
      </c>
      <c r="D127" s="1" t="s">
        <v>12</v>
      </c>
      <c r="E127" s="1" t="s">
        <v>17</v>
      </c>
      <c r="F127" s="2" t="s">
        <v>14</v>
      </c>
      <c r="G127" s="3">
        <v>46247.416666666664</v>
      </c>
      <c r="H127" s="3">
        <v>46247.916666666664</v>
      </c>
      <c r="I127" s="1">
        <v>12</v>
      </c>
      <c r="J127" s="1" t="s">
        <v>15</v>
      </c>
      <c r="K127" s="1">
        <v>0</v>
      </c>
    </row>
    <row r="128" spans="1:11" x14ac:dyDescent="0.25">
      <c r="A128" s="1" t="s">
        <v>160</v>
      </c>
      <c r="B128" s="5" t="s">
        <v>136</v>
      </c>
      <c r="D128" s="1" t="s">
        <v>12</v>
      </c>
      <c r="E128" s="1" t="s">
        <v>17</v>
      </c>
      <c r="F128" s="2" t="s">
        <v>14</v>
      </c>
      <c r="G128" s="3">
        <v>46248.416666666664</v>
      </c>
      <c r="H128" s="3">
        <v>46248.916666666664</v>
      </c>
      <c r="I128" s="1">
        <v>12</v>
      </c>
      <c r="J128" s="1" t="s">
        <v>15</v>
      </c>
      <c r="K128" s="1">
        <v>0</v>
      </c>
    </row>
    <row r="129" spans="1:11" x14ac:dyDescent="0.25">
      <c r="A129" s="1" t="s">
        <v>160</v>
      </c>
      <c r="B129" s="5" t="s">
        <v>136</v>
      </c>
      <c r="D129" s="1" t="s">
        <v>12</v>
      </c>
      <c r="E129" s="1" t="s">
        <v>17</v>
      </c>
      <c r="F129" s="2" t="s">
        <v>14</v>
      </c>
      <c r="G129" s="3">
        <v>46249.416666666664</v>
      </c>
      <c r="H129" s="3">
        <v>46249.916666666664</v>
      </c>
      <c r="I129" s="1">
        <v>12</v>
      </c>
      <c r="J129" s="1" t="s">
        <v>15</v>
      </c>
      <c r="K129" s="1">
        <v>0</v>
      </c>
    </row>
    <row r="130" spans="1:11" x14ac:dyDescent="0.25">
      <c r="A130" s="1" t="s">
        <v>160</v>
      </c>
      <c r="B130" s="5" t="s">
        <v>136</v>
      </c>
      <c r="D130" s="1" t="s">
        <v>12</v>
      </c>
      <c r="E130" s="1" t="s">
        <v>17</v>
      </c>
      <c r="F130" s="2" t="s">
        <v>14</v>
      </c>
      <c r="G130" s="3">
        <v>46250.416666666664</v>
      </c>
      <c r="H130" s="3">
        <v>46250.916666666664</v>
      </c>
      <c r="I130" s="1">
        <v>12</v>
      </c>
      <c r="J130" s="1" t="s">
        <v>15</v>
      </c>
      <c r="K130" s="1">
        <v>0</v>
      </c>
    </row>
    <row r="131" spans="1:11" x14ac:dyDescent="0.25">
      <c r="A131" s="1" t="s">
        <v>160</v>
      </c>
      <c r="B131" s="5" t="s">
        <v>137</v>
      </c>
      <c r="D131" s="1" t="s">
        <v>12</v>
      </c>
      <c r="E131" s="1" t="s">
        <v>138</v>
      </c>
      <c r="F131" s="2" t="s">
        <v>14</v>
      </c>
      <c r="G131" s="3">
        <v>46244.416666666664</v>
      </c>
      <c r="H131" s="3">
        <v>46244.916666666664</v>
      </c>
      <c r="I131" s="1">
        <v>12</v>
      </c>
      <c r="J131" s="1" t="s">
        <v>15</v>
      </c>
      <c r="K131" s="1">
        <v>0</v>
      </c>
    </row>
    <row r="132" spans="1:11" x14ac:dyDescent="0.25">
      <c r="A132" s="1" t="s">
        <v>160</v>
      </c>
      <c r="B132" s="5" t="s">
        <v>137</v>
      </c>
      <c r="D132" s="1" t="s">
        <v>12</v>
      </c>
      <c r="E132" s="1" t="s">
        <v>138</v>
      </c>
      <c r="F132" s="2" t="s">
        <v>14</v>
      </c>
      <c r="G132" s="3">
        <v>46245.416666666664</v>
      </c>
      <c r="H132" s="3">
        <v>46245.916666666664</v>
      </c>
      <c r="I132" s="1">
        <v>12</v>
      </c>
      <c r="J132" s="1" t="s">
        <v>15</v>
      </c>
      <c r="K132" s="1">
        <v>0</v>
      </c>
    </row>
    <row r="133" spans="1:11" x14ac:dyDescent="0.25">
      <c r="A133" s="1" t="s">
        <v>160</v>
      </c>
      <c r="B133" s="5" t="s">
        <v>137</v>
      </c>
      <c r="D133" s="1" t="s">
        <v>12</v>
      </c>
      <c r="E133" s="1" t="s">
        <v>138</v>
      </c>
      <c r="F133" s="2" t="s">
        <v>14</v>
      </c>
      <c r="G133" s="3">
        <v>46246.416666666664</v>
      </c>
      <c r="H133" s="3">
        <v>46246.916666666664</v>
      </c>
      <c r="I133" s="1">
        <v>12</v>
      </c>
      <c r="J133" s="1" t="s">
        <v>15</v>
      </c>
      <c r="K133" s="1">
        <v>0</v>
      </c>
    </row>
    <row r="134" spans="1:11" x14ac:dyDescent="0.25">
      <c r="A134" s="1" t="s">
        <v>160</v>
      </c>
      <c r="B134" s="5" t="s">
        <v>137</v>
      </c>
      <c r="D134" s="1" t="s">
        <v>12</v>
      </c>
      <c r="E134" s="1" t="s">
        <v>138</v>
      </c>
      <c r="F134" s="2" t="s">
        <v>14</v>
      </c>
      <c r="G134" s="3">
        <v>46247.416666666664</v>
      </c>
      <c r="H134" s="3">
        <v>46247.916666666664</v>
      </c>
      <c r="I134" s="1">
        <v>12</v>
      </c>
      <c r="J134" s="1" t="s">
        <v>15</v>
      </c>
      <c r="K134" s="1">
        <v>0</v>
      </c>
    </row>
    <row r="135" spans="1:11" x14ac:dyDescent="0.25">
      <c r="A135" s="1" t="s">
        <v>160</v>
      </c>
      <c r="B135" s="5" t="s">
        <v>137</v>
      </c>
      <c r="D135" s="1" t="s">
        <v>12</v>
      </c>
      <c r="E135" s="1" t="s">
        <v>138</v>
      </c>
      <c r="F135" s="2" t="s">
        <v>14</v>
      </c>
      <c r="G135" s="3">
        <v>46248.416666666664</v>
      </c>
      <c r="H135" s="3">
        <v>46248.916666666664</v>
      </c>
      <c r="I135" s="1">
        <v>12</v>
      </c>
      <c r="J135" s="1" t="s">
        <v>15</v>
      </c>
      <c r="K135" s="1">
        <v>0</v>
      </c>
    </row>
    <row r="136" spans="1:11" x14ac:dyDescent="0.25">
      <c r="A136" s="1" t="s">
        <v>160</v>
      </c>
      <c r="B136" s="5" t="s">
        <v>137</v>
      </c>
      <c r="D136" s="1" t="s">
        <v>12</v>
      </c>
      <c r="E136" s="1" t="s">
        <v>138</v>
      </c>
      <c r="F136" s="2" t="s">
        <v>14</v>
      </c>
      <c r="G136" s="3">
        <v>46249.416666666664</v>
      </c>
      <c r="H136" s="3">
        <v>46249.916666666664</v>
      </c>
      <c r="I136" s="1">
        <v>12</v>
      </c>
      <c r="J136" s="1" t="s">
        <v>15</v>
      </c>
      <c r="K136" s="1">
        <v>0</v>
      </c>
    </row>
    <row r="137" spans="1:11" x14ac:dyDescent="0.25">
      <c r="A137" s="1" t="s">
        <v>160</v>
      </c>
      <c r="B137" s="5" t="s">
        <v>137</v>
      </c>
      <c r="D137" s="1" t="s">
        <v>12</v>
      </c>
      <c r="E137" s="1" t="s">
        <v>138</v>
      </c>
      <c r="F137" s="2" t="s">
        <v>14</v>
      </c>
      <c r="G137" s="3">
        <v>46250.416666666664</v>
      </c>
      <c r="H137" s="3">
        <v>46250.916666666664</v>
      </c>
      <c r="I137" s="1">
        <v>12</v>
      </c>
      <c r="J137" s="1" t="s">
        <v>15</v>
      </c>
      <c r="K137" s="1">
        <v>0</v>
      </c>
    </row>
    <row r="138" spans="1:11" x14ac:dyDescent="0.25">
      <c r="A138" s="1" t="s">
        <v>160</v>
      </c>
      <c r="B138" s="5" t="s">
        <v>139</v>
      </c>
      <c r="D138" s="1" t="s">
        <v>12</v>
      </c>
      <c r="E138" s="1" t="s">
        <v>22</v>
      </c>
      <c r="F138" s="2" t="s">
        <v>14</v>
      </c>
      <c r="G138" s="3">
        <v>46244.416666666664</v>
      </c>
      <c r="H138" s="3">
        <v>46244.583333333328</v>
      </c>
      <c r="I138" s="1">
        <v>4</v>
      </c>
      <c r="J138" s="1" t="s">
        <v>15</v>
      </c>
      <c r="K138" s="1">
        <v>0</v>
      </c>
    </row>
    <row r="139" spans="1:11" x14ac:dyDescent="0.25">
      <c r="A139" s="1" t="s">
        <v>160</v>
      </c>
      <c r="B139" s="5" t="s">
        <v>139</v>
      </c>
      <c r="D139" s="1" t="s">
        <v>12</v>
      </c>
      <c r="E139" s="1" t="s">
        <v>22</v>
      </c>
      <c r="F139" s="2" t="s">
        <v>14</v>
      </c>
      <c r="G139" s="3">
        <v>46245.416666666664</v>
      </c>
      <c r="H139" s="3">
        <v>46245.583333333328</v>
      </c>
      <c r="I139" s="1">
        <v>4</v>
      </c>
      <c r="J139" s="1" t="s">
        <v>15</v>
      </c>
      <c r="K139" s="1">
        <v>0</v>
      </c>
    </row>
    <row r="140" spans="1:11" x14ac:dyDescent="0.25">
      <c r="A140" s="1" t="s">
        <v>160</v>
      </c>
      <c r="B140" s="5" t="s">
        <v>139</v>
      </c>
      <c r="D140" s="1" t="s">
        <v>12</v>
      </c>
      <c r="E140" s="1" t="s">
        <v>22</v>
      </c>
      <c r="F140" s="2" t="s">
        <v>14</v>
      </c>
      <c r="G140" s="3">
        <v>46246.416666666664</v>
      </c>
      <c r="H140" s="3">
        <v>46246.583333333328</v>
      </c>
      <c r="I140" s="1">
        <v>4</v>
      </c>
      <c r="J140" s="1" t="s">
        <v>15</v>
      </c>
      <c r="K140" s="1">
        <v>0</v>
      </c>
    </row>
    <row r="141" spans="1:11" x14ac:dyDescent="0.25">
      <c r="A141" s="1" t="s">
        <v>160</v>
      </c>
      <c r="B141" s="5" t="s">
        <v>139</v>
      </c>
      <c r="D141" s="1" t="s">
        <v>12</v>
      </c>
      <c r="E141" s="1" t="s">
        <v>22</v>
      </c>
      <c r="F141" s="2" t="s">
        <v>14</v>
      </c>
      <c r="G141" s="3">
        <v>46247.416666666664</v>
      </c>
      <c r="H141" s="3">
        <v>46247.583333333328</v>
      </c>
      <c r="I141" s="1">
        <v>4</v>
      </c>
      <c r="J141" s="1" t="s">
        <v>15</v>
      </c>
      <c r="K141" s="1">
        <v>0</v>
      </c>
    </row>
    <row r="142" spans="1:11" x14ac:dyDescent="0.25">
      <c r="A142" s="1" t="s">
        <v>160</v>
      </c>
      <c r="B142" s="5" t="s">
        <v>139</v>
      </c>
      <c r="D142" s="1" t="s">
        <v>12</v>
      </c>
      <c r="E142" s="1" t="s">
        <v>22</v>
      </c>
      <c r="F142" s="2" t="s">
        <v>14</v>
      </c>
      <c r="G142" s="3">
        <v>46248.416666666664</v>
      </c>
      <c r="H142" s="3">
        <v>46248.583333333328</v>
      </c>
      <c r="I142" s="1">
        <v>4</v>
      </c>
      <c r="J142" s="1" t="s">
        <v>15</v>
      </c>
      <c r="K142" s="1">
        <v>0</v>
      </c>
    </row>
    <row r="143" spans="1:11" x14ac:dyDescent="0.25">
      <c r="A143" s="1" t="s">
        <v>160</v>
      </c>
      <c r="B143" s="5" t="s">
        <v>139</v>
      </c>
      <c r="D143" s="1" t="s">
        <v>12</v>
      </c>
      <c r="E143" s="1" t="s">
        <v>22</v>
      </c>
      <c r="F143" s="2" t="s">
        <v>14</v>
      </c>
      <c r="G143" s="3">
        <v>46249.416666666664</v>
      </c>
      <c r="H143" s="3">
        <v>46249.583333333328</v>
      </c>
      <c r="I143" s="1">
        <v>4</v>
      </c>
      <c r="J143" s="1" t="s">
        <v>15</v>
      </c>
      <c r="K143" s="1">
        <v>0</v>
      </c>
    </row>
    <row r="144" spans="1:11" x14ac:dyDescent="0.25">
      <c r="A144" s="1" t="s">
        <v>160</v>
      </c>
      <c r="B144" s="5" t="s">
        <v>139</v>
      </c>
      <c r="D144" s="1" t="s">
        <v>12</v>
      </c>
      <c r="E144" s="1" t="s">
        <v>22</v>
      </c>
      <c r="F144" s="2" t="s">
        <v>14</v>
      </c>
      <c r="G144" s="3">
        <v>46250.416666666664</v>
      </c>
      <c r="H144" s="3">
        <v>46250.583333333328</v>
      </c>
      <c r="I144" s="1">
        <v>4</v>
      </c>
      <c r="J144" s="1" t="s">
        <v>15</v>
      </c>
      <c r="K144" s="1">
        <v>0</v>
      </c>
    </row>
    <row r="145" spans="1:11" x14ac:dyDescent="0.25">
      <c r="A145" s="1" t="s">
        <v>160</v>
      </c>
      <c r="B145" s="5" t="s">
        <v>140</v>
      </c>
      <c r="C145" s="1" t="s">
        <v>141</v>
      </c>
      <c r="D145" s="1" t="s">
        <v>12</v>
      </c>
      <c r="E145" s="1" t="s">
        <v>17</v>
      </c>
      <c r="F145" s="2" t="s">
        <v>14</v>
      </c>
      <c r="G145" s="3">
        <v>46244.416666666664</v>
      </c>
      <c r="H145" s="3">
        <v>46244.916666666664</v>
      </c>
      <c r="I145" s="1">
        <v>12</v>
      </c>
      <c r="J145" s="1" t="s">
        <v>15</v>
      </c>
      <c r="K145" s="1">
        <v>0</v>
      </c>
    </row>
    <row r="146" spans="1:11" x14ac:dyDescent="0.25">
      <c r="A146" s="1" t="s">
        <v>160</v>
      </c>
      <c r="B146" s="5" t="s">
        <v>140</v>
      </c>
      <c r="C146" s="1" t="s">
        <v>141</v>
      </c>
      <c r="D146" s="1" t="s">
        <v>12</v>
      </c>
      <c r="E146" s="1" t="s">
        <v>17</v>
      </c>
      <c r="F146" s="2" t="s">
        <v>14</v>
      </c>
      <c r="G146" s="3">
        <v>46245.416666666664</v>
      </c>
      <c r="H146" s="3">
        <v>46245.916666666664</v>
      </c>
      <c r="I146" s="1">
        <v>12</v>
      </c>
      <c r="J146" s="1" t="s">
        <v>15</v>
      </c>
      <c r="K146" s="1">
        <v>0</v>
      </c>
    </row>
    <row r="147" spans="1:11" x14ac:dyDescent="0.25">
      <c r="A147" s="1" t="s">
        <v>160</v>
      </c>
      <c r="B147" s="5" t="s">
        <v>140</v>
      </c>
      <c r="C147" s="1" t="s">
        <v>141</v>
      </c>
      <c r="D147" s="1" t="s">
        <v>12</v>
      </c>
      <c r="E147" s="1" t="s">
        <v>17</v>
      </c>
      <c r="F147" s="2" t="s">
        <v>14</v>
      </c>
      <c r="G147" s="3">
        <v>46246.416666666664</v>
      </c>
      <c r="H147" s="3">
        <v>46246.916666666664</v>
      </c>
      <c r="I147" s="1">
        <v>12</v>
      </c>
      <c r="J147" s="1" t="s">
        <v>15</v>
      </c>
      <c r="K147" s="1">
        <v>0</v>
      </c>
    </row>
    <row r="148" spans="1:11" x14ac:dyDescent="0.25">
      <c r="A148" s="1" t="s">
        <v>160</v>
      </c>
      <c r="B148" s="5" t="s">
        <v>140</v>
      </c>
      <c r="C148" s="1" t="s">
        <v>141</v>
      </c>
      <c r="D148" s="1" t="s">
        <v>12</v>
      </c>
      <c r="E148" s="1" t="s">
        <v>17</v>
      </c>
      <c r="F148" s="2" t="s">
        <v>14</v>
      </c>
      <c r="G148" s="3">
        <v>46247.416666666664</v>
      </c>
      <c r="H148" s="3">
        <v>46247.916666666664</v>
      </c>
      <c r="I148" s="1">
        <v>12</v>
      </c>
      <c r="J148" s="1" t="s">
        <v>15</v>
      </c>
      <c r="K148" s="1">
        <v>0</v>
      </c>
    </row>
    <row r="149" spans="1:11" x14ac:dyDescent="0.25">
      <c r="A149" s="1" t="s">
        <v>160</v>
      </c>
      <c r="B149" s="5" t="s">
        <v>140</v>
      </c>
      <c r="C149" s="1" t="s">
        <v>141</v>
      </c>
      <c r="D149" s="1" t="s">
        <v>12</v>
      </c>
      <c r="E149" s="1" t="s">
        <v>17</v>
      </c>
      <c r="F149" s="2" t="s">
        <v>14</v>
      </c>
      <c r="G149" s="3">
        <v>46248.416666666664</v>
      </c>
      <c r="H149" s="3">
        <v>46248.916666666664</v>
      </c>
      <c r="I149" s="1">
        <v>12</v>
      </c>
      <c r="J149" s="1" t="s">
        <v>15</v>
      </c>
      <c r="K149" s="1">
        <v>0</v>
      </c>
    </row>
    <row r="150" spans="1:11" x14ac:dyDescent="0.25">
      <c r="A150" s="1" t="s">
        <v>160</v>
      </c>
      <c r="B150" s="5" t="s">
        <v>140</v>
      </c>
      <c r="C150" s="1" t="s">
        <v>141</v>
      </c>
      <c r="D150" s="1" t="s">
        <v>12</v>
      </c>
      <c r="E150" s="1" t="s">
        <v>17</v>
      </c>
      <c r="F150" s="2" t="s">
        <v>14</v>
      </c>
      <c r="G150" s="3">
        <v>46249.416666666664</v>
      </c>
      <c r="H150" s="3">
        <v>46249.916666666664</v>
      </c>
      <c r="I150" s="1">
        <v>12</v>
      </c>
      <c r="J150" s="1" t="s">
        <v>15</v>
      </c>
      <c r="K150" s="1">
        <v>0</v>
      </c>
    </row>
    <row r="151" spans="1:11" x14ac:dyDescent="0.25">
      <c r="A151" s="1" t="s">
        <v>160</v>
      </c>
      <c r="B151" s="5" t="s">
        <v>140</v>
      </c>
      <c r="C151" s="1" t="s">
        <v>141</v>
      </c>
      <c r="D151" s="1" t="s">
        <v>12</v>
      </c>
      <c r="E151" s="1" t="s">
        <v>17</v>
      </c>
      <c r="F151" s="2" t="s">
        <v>14</v>
      </c>
      <c r="G151" s="3">
        <v>46250.416666666664</v>
      </c>
      <c r="H151" s="3">
        <v>46250.916666666664</v>
      </c>
      <c r="I151" s="1">
        <v>12</v>
      </c>
      <c r="J151" s="1" t="s">
        <v>15</v>
      </c>
      <c r="K151" s="1">
        <v>0</v>
      </c>
    </row>
    <row r="152" spans="1:11" x14ac:dyDescent="0.25">
      <c r="A152" s="1" t="s">
        <v>165</v>
      </c>
      <c r="B152" s="5" t="s">
        <v>142</v>
      </c>
      <c r="C152" s="1" t="s">
        <v>143</v>
      </c>
      <c r="D152" s="1" t="s">
        <v>12</v>
      </c>
      <c r="E152" s="1" t="s">
        <v>34</v>
      </c>
      <c r="F152" s="2" t="s">
        <v>64</v>
      </c>
      <c r="G152" s="3">
        <v>46244.708333333336</v>
      </c>
      <c r="H152" s="3">
        <v>46244.958333333336</v>
      </c>
      <c r="I152" s="1">
        <v>6</v>
      </c>
      <c r="J152" s="1" t="s">
        <v>15</v>
      </c>
      <c r="K152" s="1">
        <v>0</v>
      </c>
    </row>
    <row r="153" spans="1:11" x14ac:dyDescent="0.25">
      <c r="A153" s="1" t="s">
        <v>165</v>
      </c>
      <c r="B153" s="5" t="s">
        <v>142</v>
      </c>
      <c r="C153" s="1" t="s">
        <v>143</v>
      </c>
      <c r="D153" s="1" t="s">
        <v>12</v>
      </c>
      <c r="E153" s="1" t="s">
        <v>34</v>
      </c>
      <c r="F153" s="2" t="s">
        <v>64</v>
      </c>
      <c r="G153" s="3">
        <v>46245.708333333336</v>
      </c>
      <c r="H153" s="3">
        <v>46245.958333333336</v>
      </c>
      <c r="I153" s="1">
        <v>6</v>
      </c>
      <c r="J153" s="1" t="s">
        <v>15</v>
      </c>
      <c r="K153" s="1">
        <v>0</v>
      </c>
    </row>
    <row r="154" spans="1:11" x14ac:dyDescent="0.25">
      <c r="A154" s="1" t="s">
        <v>165</v>
      </c>
      <c r="B154" s="5" t="s">
        <v>142</v>
      </c>
      <c r="C154" s="1" t="s">
        <v>143</v>
      </c>
      <c r="D154" s="1" t="s">
        <v>12</v>
      </c>
      <c r="E154" s="1" t="s">
        <v>34</v>
      </c>
      <c r="F154" s="2" t="s">
        <v>64</v>
      </c>
      <c r="G154" s="3">
        <v>46246.708333333336</v>
      </c>
      <c r="H154" s="3">
        <v>46246.958333333336</v>
      </c>
      <c r="I154" s="1">
        <v>6</v>
      </c>
      <c r="J154" s="1" t="s">
        <v>15</v>
      </c>
      <c r="K154" s="1">
        <v>0</v>
      </c>
    </row>
    <row r="155" spans="1:11" x14ac:dyDescent="0.25">
      <c r="A155" s="1" t="s">
        <v>165</v>
      </c>
      <c r="B155" s="5" t="s">
        <v>142</v>
      </c>
      <c r="C155" s="1" t="s">
        <v>143</v>
      </c>
      <c r="D155" s="1" t="s">
        <v>12</v>
      </c>
      <c r="E155" s="1" t="s">
        <v>34</v>
      </c>
      <c r="F155" s="2" t="s">
        <v>64</v>
      </c>
      <c r="G155" s="3">
        <v>46247.708333333336</v>
      </c>
      <c r="H155" s="3">
        <v>46247.958333333336</v>
      </c>
      <c r="I155" s="1">
        <v>6</v>
      </c>
      <c r="J155" s="1" t="s">
        <v>15</v>
      </c>
      <c r="K155" s="1">
        <v>0</v>
      </c>
    </row>
    <row r="156" spans="1:11" x14ac:dyDescent="0.25">
      <c r="A156" s="1" t="s">
        <v>165</v>
      </c>
      <c r="B156" s="5" t="s">
        <v>142</v>
      </c>
      <c r="C156" s="1" t="s">
        <v>143</v>
      </c>
      <c r="D156" s="1" t="s">
        <v>12</v>
      </c>
      <c r="E156" s="1" t="s">
        <v>34</v>
      </c>
      <c r="F156" s="2" t="s">
        <v>64</v>
      </c>
      <c r="G156" s="3">
        <v>46248.708333333336</v>
      </c>
      <c r="H156" s="3">
        <v>46249</v>
      </c>
      <c r="I156" s="1">
        <v>7</v>
      </c>
      <c r="J156" s="1" t="s">
        <v>15</v>
      </c>
      <c r="K156" s="1">
        <v>0</v>
      </c>
    </row>
    <row r="157" spans="1:11" x14ac:dyDescent="0.25">
      <c r="A157" s="1" t="s">
        <v>165</v>
      </c>
      <c r="B157" s="5" t="s">
        <v>142</v>
      </c>
      <c r="C157" s="1" t="s">
        <v>143</v>
      </c>
      <c r="D157" s="1" t="s">
        <v>12</v>
      </c>
      <c r="E157" s="1" t="s">
        <v>34</v>
      </c>
      <c r="F157" s="2" t="s">
        <v>64</v>
      </c>
      <c r="G157" s="3">
        <v>46249.708333333336</v>
      </c>
      <c r="H157" s="3">
        <v>46250</v>
      </c>
      <c r="I157" s="1">
        <v>7</v>
      </c>
      <c r="J157" s="1" t="s">
        <v>15</v>
      </c>
      <c r="K157" s="1">
        <v>0</v>
      </c>
    </row>
    <row r="158" spans="1:11" x14ac:dyDescent="0.25">
      <c r="A158" s="1" t="s">
        <v>162</v>
      </c>
      <c r="B158" s="5" t="s">
        <v>144</v>
      </c>
      <c r="D158" s="1" t="s">
        <v>12</v>
      </c>
      <c r="E158" s="1" t="s">
        <v>145</v>
      </c>
      <c r="F158" s="2" t="s">
        <v>14</v>
      </c>
      <c r="G158" s="3">
        <v>46245.5</v>
      </c>
      <c r="H158" s="3">
        <v>46245.666666666664</v>
      </c>
      <c r="I158" s="1">
        <v>4</v>
      </c>
      <c r="J158" s="1" t="s">
        <v>15</v>
      </c>
      <c r="K158" s="1">
        <v>0</v>
      </c>
    </row>
    <row r="159" spans="1:11" x14ac:dyDescent="0.25">
      <c r="A159" s="1" t="s">
        <v>162</v>
      </c>
      <c r="B159" s="5" t="s">
        <v>144</v>
      </c>
      <c r="D159" s="1" t="s">
        <v>12</v>
      </c>
      <c r="E159" s="1" t="s">
        <v>145</v>
      </c>
      <c r="F159" s="2" t="s">
        <v>14</v>
      </c>
      <c r="G159" s="3">
        <v>46246.5</v>
      </c>
      <c r="H159" s="3">
        <v>46246.666666666664</v>
      </c>
      <c r="I159" s="1">
        <v>4</v>
      </c>
      <c r="J159" s="1" t="s">
        <v>15</v>
      </c>
      <c r="K159" s="1">
        <v>0</v>
      </c>
    </row>
    <row r="160" spans="1:11" x14ac:dyDescent="0.25">
      <c r="A160" s="1" t="s">
        <v>162</v>
      </c>
      <c r="B160" s="5" t="s">
        <v>144</v>
      </c>
      <c r="D160" s="1" t="s">
        <v>12</v>
      </c>
      <c r="E160" s="1" t="s">
        <v>145</v>
      </c>
      <c r="F160" s="2" t="s">
        <v>14</v>
      </c>
      <c r="G160" s="3">
        <v>46247.5</v>
      </c>
      <c r="H160" s="3">
        <v>46247.666666666664</v>
      </c>
      <c r="I160" s="1">
        <v>4</v>
      </c>
      <c r="J160" s="1" t="s">
        <v>15</v>
      </c>
      <c r="K160" s="1">
        <v>0</v>
      </c>
    </row>
    <row r="161" spans="1:11" x14ac:dyDescent="0.25">
      <c r="A161" s="1" t="s">
        <v>162</v>
      </c>
      <c r="B161" s="5" t="s">
        <v>144</v>
      </c>
      <c r="D161" s="1" t="s">
        <v>12</v>
      </c>
      <c r="E161" s="1" t="s">
        <v>145</v>
      </c>
      <c r="F161" s="2" t="s">
        <v>14</v>
      </c>
      <c r="G161" s="3">
        <v>46248.5</v>
      </c>
      <c r="H161" s="3">
        <v>46248.666666666664</v>
      </c>
      <c r="I161" s="1">
        <v>4</v>
      </c>
      <c r="J161" s="1" t="s">
        <v>15</v>
      </c>
      <c r="K161" s="1">
        <v>0</v>
      </c>
    </row>
    <row r="162" spans="1:11" x14ac:dyDescent="0.25">
      <c r="A162" s="1" t="s">
        <v>162</v>
      </c>
      <c r="B162" s="5" t="s">
        <v>144</v>
      </c>
      <c r="D162" s="1" t="s">
        <v>12</v>
      </c>
      <c r="E162" s="1" t="s">
        <v>145</v>
      </c>
      <c r="F162" s="2" t="s">
        <v>14</v>
      </c>
      <c r="G162" s="3">
        <v>46249.5</v>
      </c>
      <c r="H162" s="3">
        <v>46249.666666666664</v>
      </c>
      <c r="I162" s="1">
        <v>4</v>
      </c>
      <c r="J162" s="1" t="s">
        <v>15</v>
      </c>
      <c r="K162" s="1">
        <v>0</v>
      </c>
    </row>
    <row r="163" spans="1:11" x14ac:dyDescent="0.25">
      <c r="A163" s="1" t="s">
        <v>162</v>
      </c>
      <c r="B163" s="5" t="s">
        <v>144</v>
      </c>
      <c r="D163" s="1" t="s">
        <v>12</v>
      </c>
      <c r="E163" s="1" t="s">
        <v>145</v>
      </c>
      <c r="F163" s="2" t="s">
        <v>14</v>
      </c>
      <c r="G163" s="3">
        <v>46250.5</v>
      </c>
      <c r="H163" s="3">
        <v>46250.666666666664</v>
      </c>
      <c r="I163" s="1">
        <v>4</v>
      </c>
      <c r="J163" s="1" t="s">
        <v>15</v>
      </c>
      <c r="K163" s="1">
        <v>0</v>
      </c>
    </row>
    <row r="164" spans="1:11" x14ac:dyDescent="0.25">
      <c r="A164" s="1" t="s">
        <v>153</v>
      </c>
      <c r="B164" s="5" t="s">
        <v>146</v>
      </c>
      <c r="D164" s="1" t="s">
        <v>12</v>
      </c>
      <c r="E164" s="1" t="s">
        <v>55</v>
      </c>
      <c r="F164" s="2" t="s">
        <v>14</v>
      </c>
      <c r="G164" s="3">
        <v>46245.583333333336</v>
      </c>
      <c r="H164" s="3">
        <v>46245.625</v>
      </c>
      <c r="I164" s="1">
        <v>1</v>
      </c>
      <c r="J164" s="1" t="s">
        <v>147</v>
      </c>
      <c r="K164" s="1">
        <v>0</v>
      </c>
    </row>
    <row r="165" spans="1:11" x14ac:dyDescent="0.25">
      <c r="A165" s="1" t="s">
        <v>153</v>
      </c>
      <c r="B165" s="5" t="s">
        <v>146</v>
      </c>
      <c r="D165" s="1" t="s">
        <v>12</v>
      </c>
      <c r="E165" s="1" t="s">
        <v>55</v>
      </c>
      <c r="F165" s="2" t="s">
        <v>14</v>
      </c>
      <c r="G165" s="3">
        <v>46246.583333333336</v>
      </c>
      <c r="H165" s="3">
        <v>46246.625</v>
      </c>
      <c r="I165" s="1">
        <v>1</v>
      </c>
      <c r="J165" s="1" t="s">
        <v>147</v>
      </c>
      <c r="K165" s="1">
        <v>0</v>
      </c>
    </row>
    <row r="166" spans="1:11" x14ac:dyDescent="0.25">
      <c r="A166" s="1" t="s">
        <v>153</v>
      </c>
      <c r="B166" s="5" t="s">
        <v>146</v>
      </c>
      <c r="D166" s="1" t="s">
        <v>12</v>
      </c>
      <c r="E166" s="1" t="s">
        <v>55</v>
      </c>
      <c r="F166" s="2" t="s">
        <v>14</v>
      </c>
      <c r="G166" s="3">
        <v>46247.583333333336</v>
      </c>
      <c r="H166" s="3">
        <v>46247.625</v>
      </c>
      <c r="I166" s="1">
        <v>1</v>
      </c>
      <c r="J166" s="1" t="s">
        <v>147</v>
      </c>
      <c r="K166" s="1">
        <v>0</v>
      </c>
    </row>
    <row r="167" spans="1:11" x14ac:dyDescent="0.25">
      <c r="A167" s="1" t="s">
        <v>153</v>
      </c>
      <c r="B167" s="5" t="s">
        <v>146</v>
      </c>
      <c r="D167" s="1" t="s">
        <v>12</v>
      </c>
      <c r="E167" s="1" t="s">
        <v>55</v>
      </c>
      <c r="F167" s="2" t="s">
        <v>14</v>
      </c>
      <c r="G167" s="3">
        <v>46248.583333333336</v>
      </c>
      <c r="H167" s="3">
        <v>46248.625</v>
      </c>
      <c r="I167" s="1">
        <v>1</v>
      </c>
      <c r="J167" s="1" t="s">
        <v>147</v>
      </c>
      <c r="K167" s="1">
        <v>0</v>
      </c>
    </row>
    <row r="168" spans="1:11" x14ac:dyDescent="0.25">
      <c r="A168" s="1" t="s">
        <v>153</v>
      </c>
      <c r="B168" s="5" t="s">
        <v>146</v>
      </c>
      <c r="D168" s="1" t="s">
        <v>12</v>
      </c>
      <c r="E168" s="1" t="s">
        <v>55</v>
      </c>
      <c r="F168" s="2" t="s">
        <v>14</v>
      </c>
      <c r="G168" s="3">
        <v>46249.583333333336</v>
      </c>
      <c r="H168" s="3">
        <v>46249.625</v>
      </c>
      <c r="I168" s="1">
        <v>1</v>
      </c>
      <c r="J168" s="1" t="s">
        <v>147</v>
      </c>
      <c r="K168" s="1">
        <v>0</v>
      </c>
    </row>
    <row r="169" spans="1:11" x14ac:dyDescent="0.25">
      <c r="A169" s="1" t="s">
        <v>153</v>
      </c>
      <c r="B169" s="5" t="s">
        <v>146</v>
      </c>
      <c r="D169" s="1" t="s">
        <v>12</v>
      </c>
      <c r="E169" s="1" t="s">
        <v>55</v>
      </c>
      <c r="F169" s="2" t="s">
        <v>14</v>
      </c>
      <c r="G169" s="3">
        <v>46250.583333333336</v>
      </c>
      <c r="H169" s="3">
        <v>46250.625</v>
      </c>
      <c r="I169" s="1">
        <v>1</v>
      </c>
      <c r="J169" s="1" t="s">
        <v>147</v>
      </c>
      <c r="K169" s="1">
        <v>0</v>
      </c>
    </row>
    <row r="170" spans="1:11" x14ac:dyDescent="0.25">
      <c r="A170" s="1" t="s">
        <v>160</v>
      </c>
      <c r="B170" s="5" t="s">
        <v>148</v>
      </c>
      <c r="D170" s="1" t="s">
        <v>12</v>
      </c>
      <c r="E170" s="1" t="s">
        <v>17</v>
      </c>
      <c r="F170" s="2" t="s">
        <v>14</v>
      </c>
      <c r="G170" s="3">
        <v>46244.520833333336</v>
      </c>
      <c r="H170" s="3">
        <v>46244.5625</v>
      </c>
      <c r="I170" s="1">
        <v>1</v>
      </c>
      <c r="J170" s="1" t="s">
        <v>149</v>
      </c>
      <c r="K170" s="1">
        <v>0</v>
      </c>
    </row>
    <row r="171" spans="1:11" x14ac:dyDescent="0.25">
      <c r="A171" s="1" t="s">
        <v>160</v>
      </c>
      <c r="B171" s="5" t="s">
        <v>148</v>
      </c>
      <c r="D171" s="1" t="s">
        <v>12</v>
      </c>
      <c r="E171" s="1" t="s">
        <v>17</v>
      </c>
      <c r="F171" s="2" t="s">
        <v>14</v>
      </c>
      <c r="G171" s="3">
        <v>46245.520833333336</v>
      </c>
      <c r="H171" s="3">
        <v>46245.5625</v>
      </c>
      <c r="I171" s="1">
        <v>1</v>
      </c>
      <c r="J171" s="1" t="s">
        <v>149</v>
      </c>
      <c r="K171" s="1">
        <v>0</v>
      </c>
    </row>
    <row r="172" spans="1:11" x14ac:dyDescent="0.25">
      <c r="A172" s="1" t="s">
        <v>160</v>
      </c>
      <c r="B172" s="5" t="s">
        <v>148</v>
      </c>
      <c r="D172" s="1" t="s">
        <v>12</v>
      </c>
      <c r="E172" s="1" t="s">
        <v>17</v>
      </c>
      <c r="F172" s="2" t="s">
        <v>14</v>
      </c>
      <c r="G172" s="3">
        <v>46246.520833333336</v>
      </c>
      <c r="H172" s="3">
        <v>46246.5625</v>
      </c>
      <c r="I172" s="1">
        <v>1</v>
      </c>
      <c r="J172" s="1" t="s">
        <v>149</v>
      </c>
      <c r="K172" s="1">
        <v>0</v>
      </c>
    </row>
    <row r="173" spans="1:11" x14ac:dyDescent="0.25">
      <c r="A173" s="1" t="s">
        <v>160</v>
      </c>
      <c r="B173" s="5" t="s">
        <v>148</v>
      </c>
      <c r="D173" s="1" t="s">
        <v>12</v>
      </c>
      <c r="E173" s="1" t="s">
        <v>17</v>
      </c>
      <c r="F173" s="2" t="s">
        <v>14</v>
      </c>
      <c r="G173" s="3">
        <v>46247.520833333336</v>
      </c>
      <c r="H173" s="3">
        <v>46247.5625</v>
      </c>
      <c r="I173" s="1">
        <v>1</v>
      </c>
      <c r="J173" s="1" t="s">
        <v>149</v>
      </c>
      <c r="K173" s="1">
        <v>0</v>
      </c>
    </row>
    <row r="174" spans="1:11" x14ac:dyDescent="0.25">
      <c r="A174" s="1" t="s">
        <v>160</v>
      </c>
      <c r="B174" s="5" t="s">
        <v>148</v>
      </c>
      <c r="D174" s="1" t="s">
        <v>12</v>
      </c>
      <c r="E174" s="1" t="s">
        <v>17</v>
      </c>
      <c r="F174" s="2" t="s">
        <v>14</v>
      </c>
      <c r="G174" s="3">
        <v>46248.520833333336</v>
      </c>
      <c r="H174" s="3">
        <v>46248.5625</v>
      </c>
      <c r="I174" s="1">
        <v>1</v>
      </c>
      <c r="J174" s="1" t="s">
        <v>149</v>
      </c>
      <c r="K174" s="1">
        <v>0</v>
      </c>
    </row>
    <row r="175" spans="1:11" x14ac:dyDescent="0.25">
      <c r="A175" s="1" t="s">
        <v>160</v>
      </c>
      <c r="B175" s="5" t="s">
        <v>148</v>
      </c>
      <c r="D175" s="1" t="s">
        <v>12</v>
      </c>
      <c r="E175" s="1" t="s">
        <v>17</v>
      </c>
      <c r="F175" s="2" t="s">
        <v>14</v>
      </c>
      <c r="G175" s="3">
        <v>46249.520833333336</v>
      </c>
      <c r="H175" s="3">
        <v>46249.5625</v>
      </c>
      <c r="I175" s="1">
        <v>1</v>
      </c>
      <c r="J175" s="1" t="s">
        <v>149</v>
      </c>
      <c r="K175" s="1">
        <v>0</v>
      </c>
    </row>
    <row r="176" spans="1:11" x14ac:dyDescent="0.25">
      <c r="A176" s="1" t="s">
        <v>160</v>
      </c>
      <c r="B176" s="5" t="s">
        <v>148</v>
      </c>
      <c r="D176" s="1" t="s">
        <v>12</v>
      </c>
      <c r="E176" s="1" t="s">
        <v>17</v>
      </c>
      <c r="F176" s="2" t="s">
        <v>14</v>
      </c>
      <c r="G176" s="3">
        <v>46250.520833333336</v>
      </c>
      <c r="H176" s="3">
        <v>46250.5625</v>
      </c>
      <c r="I176" s="1">
        <v>1</v>
      </c>
      <c r="J176" s="1" t="s">
        <v>149</v>
      </c>
      <c r="K176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F26" sqref="F26"/>
    </sheetView>
  </sheetViews>
  <sheetFormatPr defaultRowHeight="15" x14ac:dyDescent="0.25"/>
  <cols>
    <col min="1" max="1" width="15" customWidth="1"/>
    <col min="2" max="2" width="10.42578125" customWidth="1"/>
    <col min="6" max="6" width="4.42578125" customWidth="1"/>
  </cols>
  <sheetData>
    <row r="1" spans="1:12" x14ac:dyDescent="0.25">
      <c r="A1" t="s">
        <v>290</v>
      </c>
    </row>
    <row r="4" spans="1:12" x14ac:dyDescent="0.25">
      <c r="A4" t="s">
        <v>271</v>
      </c>
    </row>
    <row r="5" spans="1:12" x14ac:dyDescent="0.25">
      <c r="B5" t="s">
        <v>281</v>
      </c>
      <c r="C5" t="s">
        <v>282</v>
      </c>
      <c r="D5" t="s">
        <v>284</v>
      </c>
      <c r="E5" t="s">
        <v>283</v>
      </c>
      <c r="G5" t="s">
        <v>286</v>
      </c>
      <c r="H5" t="s">
        <v>287</v>
      </c>
      <c r="I5" t="s">
        <v>288</v>
      </c>
      <c r="J5" t="s">
        <v>289</v>
      </c>
    </row>
    <row r="7" spans="1:12" x14ac:dyDescent="0.25">
      <c r="A7" t="s">
        <v>285</v>
      </c>
      <c r="B7">
        <v>0</v>
      </c>
      <c r="C7">
        <v>0</v>
      </c>
      <c r="D7">
        <v>13.7</v>
      </c>
      <c r="E7">
        <v>18.64</v>
      </c>
    </row>
    <row r="9" spans="1:12" x14ac:dyDescent="0.25">
      <c r="A9" t="s">
        <v>152</v>
      </c>
      <c r="B9" s="6">
        <v>2.83</v>
      </c>
      <c r="C9" s="6">
        <v>8.4700000000000006</v>
      </c>
      <c r="D9" s="6">
        <v>2.35</v>
      </c>
      <c r="E9" s="6">
        <v>3.59</v>
      </c>
      <c r="G9" s="6">
        <f t="shared" ref="G9:G23" si="0">ROUND(B9/$D$7*100,2)</f>
        <v>20.66</v>
      </c>
      <c r="H9" s="6">
        <f t="shared" ref="H9:H23" si="1">ROUND(C9/$E$7*100,2)</f>
        <v>45.44</v>
      </c>
      <c r="I9" s="6">
        <f>ROUND(D9/$D$7*100,2)</f>
        <v>17.149999999999999</v>
      </c>
      <c r="J9" s="6">
        <f>ROUND(E9/$E$7*100,2)</f>
        <v>19.260000000000002</v>
      </c>
      <c r="K9" s="6"/>
      <c r="L9" t="str">
        <f>"    left: "&amp;G9&amp;", top: "&amp;H9&amp;", width: "&amp;I9&amp;", height: "&amp;J9&amp;","</f>
        <v xml:space="preserve">    left: 20.66, top: 45.44, width: 17.15, height: 19.26,</v>
      </c>
    </row>
    <row r="10" spans="1:12" x14ac:dyDescent="0.25">
      <c r="A10" t="s">
        <v>272</v>
      </c>
      <c r="B10" s="6">
        <v>2.0499999999999998</v>
      </c>
      <c r="C10" s="6">
        <v>4.68</v>
      </c>
      <c r="D10" s="6">
        <v>2.37</v>
      </c>
      <c r="E10" s="6">
        <v>3.64</v>
      </c>
      <c r="G10" s="6">
        <f t="shared" si="0"/>
        <v>14.96</v>
      </c>
      <c r="H10" s="6">
        <f t="shared" si="1"/>
        <v>25.11</v>
      </c>
      <c r="I10" s="6">
        <f t="shared" ref="I10:I23" si="2">ROUND(D10/$D$7*100,2)</f>
        <v>17.3</v>
      </c>
      <c r="J10" s="6">
        <f t="shared" ref="J10:J23" si="3">ROUND(E10/$E$7*100,2)</f>
        <v>19.53</v>
      </c>
      <c r="K10" s="6"/>
      <c r="L10" t="str">
        <f t="shared" ref="L10:L23" si="4">"    left: "&amp;G10&amp;", top: "&amp;H10&amp;", width: "&amp;I10&amp;", height: "&amp;J10&amp;","</f>
        <v xml:space="preserve">    left: 14.96, top: 25.11, width: 17.3, height: 19.53,</v>
      </c>
    </row>
    <row r="11" spans="1:12" x14ac:dyDescent="0.25">
      <c r="A11" t="s">
        <v>273</v>
      </c>
      <c r="B11" s="6">
        <v>2.0299999999999998</v>
      </c>
      <c r="C11" s="6">
        <v>2.69</v>
      </c>
      <c r="D11" s="6">
        <v>2.21</v>
      </c>
      <c r="E11" s="6">
        <v>1.81</v>
      </c>
      <c r="G11" s="6">
        <f t="shared" si="0"/>
        <v>14.82</v>
      </c>
      <c r="H11" s="6">
        <f t="shared" si="1"/>
        <v>14.43</v>
      </c>
      <c r="I11" s="6">
        <f t="shared" si="2"/>
        <v>16.13</v>
      </c>
      <c r="J11" s="6">
        <f t="shared" si="3"/>
        <v>9.7100000000000009</v>
      </c>
      <c r="K11" s="6"/>
      <c r="L11" t="str">
        <f t="shared" si="4"/>
        <v xml:space="preserve">    left: 14.82, top: 14.43, width: 16.13, height: 9.71,</v>
      </c>
    </row>
    <row r="12" spans="1:12" x14ac:dyDescent="0.25">
      <c r="A12" t="s">
        <v>274</v>
      </c>
      <c r="B12" s="6">
        <v>4.3499999999999996</v>
      </c>
      <c r="C12" s="6">
        <v>2.65</v>
      </c>
      <c r="D12" s="6">
        <v>1.61</v>
      </c>
      <c r="E12" s="6">
        <v>1.29</v>
      </c>
      <c r="G12" s="6">
        <f t="shared" si="0"/>
        <v>31.75</v>
      </c>
      <c r="H12" s="6">
        <f t="shared" si="1"/>
        <v>14.22</v>
      </c>
      <c r="I12" s="6">
        <f t="shared" si="2"/>
        <v>11.75</v>
      </c>
      <c r="J12" s="6">
        <f t="shared" si="3"/>
        <v>6.92</v>
      </c>
      <c r="K12" s="6"/>
      <c r="L12" t="str">
        <f t="shared" si="4"/>
        <v xml:space="preserve">    left: 31.75, top: 14.22, width: 11.75, height: 6.92,</v>
      </c>
    </row>
    <row r="13" spans="1:12" x14ac:dyDescent="0.25">
      <c r="A13" t="s">
        <v>165</v>
      </c>
      <c r="B13" s="6">
        <v>5.03</v>
      </c>
      <c r="C13" s="6">
        <v>4.01</v>
      </c>
      <c r="D13" s="6">
        <v>2.5499999999999998</v>
      </c>
      <c r="E13" s="6">
        <v>1.1399999999999999</v>
      </c>
      <c r="G13" s="6">
        <f t="shared" si="0"/>
        <v>36.72</v>
      </c>
      <c r="H13" s="6">
        <f t="shared" si="1"/>
        <v>21.51</v>
      </c>
      <c r="I13" s="6">
        <f t="shared" si="2"/>
        <v>18.61</v>
      </c>
      <c r="J13" s="6">
        <f t="shared" si="3"/>
        <v>6.12</v>
      </c>
      <c r="K13" s="6"/>
      <c r="L13" t="str">
        <f t="shared" si="4"/>
        <v xml:space="preserve">    left: 36.72, top: 21.51, width: 18.61, height: 6.12,</v>
      </c>
    </row>
    <row r="14" spans="1:12" x14ac:dyDescent="0.25">
      <c r="A14" t="s">
        <v>275</v>
      </c>
      <c r="B14" s="6">
        <v>7.7</v>
      </c>
      <c r="C14" s="6">
        <v>3.99</v>
      </c>
      <c r="D14" s="6">
        <v>1.01</v>
      </c>
      <c r="E14" s="6">
        <v>1.55</v>
      </c>
      <c r="G14" s="6">
        <f t="shared" si="0"/>
        <v>56.2</v>
      </c>
      <c r="H14" s="6">
        <f t="shared" si="1"/>
        <v>21.41</v>
      </c>
      <c r="I14" s="6">
        <f t="shared" si="2"/>
        <v>7.37</v>
      </c>
      <c r="J14" s="6">
        <f t="shared" si="3"/>
        <v>8.32</v>
      </c>
      <c r="K14" s="6"/>
      <c r="L14" t="str">
        <f t="shared" si="4"/>
        <v xml:space="preserve">    left: 56.2, top: 21.41, width: 7.37, height: 8.32,</v>
      </c>
    </row>
    <row r="15" spans="1:12" x14ac:dyDescent="0.25">
      <c r="A15" t="s">
        <v>276</v>
      </c>
      <c r="B15" s="6">
        <v>6.75</v>
      </c>
      <c r="C15" s="6">
        <v>2.38</v>
      </c>
      <c r="D15" s="6">
        <v>1.17</v>
      </c>
      <c r="E15" s="6">
        <v>1.55</v>
      </c>
      <c r="G15" s="6">
        <f t="shared" si="0"/>
        <v>49.27</v>
      </c>
      <c r="H15" s="6">
        <f t="shared" si="1"/>
        <v>12.77</v>
      </c>
      <c r="I15" s="6">
        <f t="shared" si="2"/>
        <v>8.5399999999999991</v>
      </c>
      <c r="J15" s="6">
        <f t="shared" si="3"/>
        <v>8.32</v>
      </c>
      <c r="K15" s="6"/>
      <c r="L15" t="str">
        <f t="shared" si="4"/>
        <v xml:space="preserve">    left: 49.27, top: 12.77, width: 8.54, height: 8.32,</v>
      </c>
    </row>
    <row r="16" spans="1:12" x14ac:dyDescent="0.25">
      <c r="A16" t="s">
        <v>466</v>
      </c>
      <c r="B16" s="6">
        <v>5.67</v>
      </c>
      <c r="C16" s="6">
        <v>0.64</v>
      </c>
      <c r="D16" s="6">
        <v>1.03</v>
      </c>
      <c r="E16" s="6">
        <v>1.65</v>
      </c>
      <c r="G16" s="6">
        <f t="shared" si="0"/>
        <v>41.39</v>
      </c>
      <c r="H16" s="6">
        <f t="shared" si="1"/>
        <v>3.43</v>
      </c>
      <c r="I16" s="6">
        <f t="shared" si="2"/>
        <v>7.52</v>
      </c>
      <c r="J16" s="6">
        <f t="shared" si="3"/>
        <v>8.85</v>
      </c>
      <c r="K16" s="6"/>
      <c r="L16" t="str">
        <f t="shared" si="4"/>
        <v xml:space="preserve">    left: 41.39, top: 3.43, width: 7.52, height: 8.85,</v>
      </c>
    </row>
    <row r="17" spans="1:12" x14ac:dyDescent="0.25">
      <c r="A17" t="s">
        <v>277</v>
      </c>
      <c r="B17" s="6">
        <v>6.82</v>
      </c>
      <c r="C17" s="6">
        <v>0.63</v>
      </c>
      <c r="D17" s="6">
        <v>1</v>
      </c>
      <c r="E17" s="6">
        <v>1.65</v>
      </c>
      <c r="G17" s="6">
        <f t="shared" si="0"/>
        <v>49.78</v>
      </c>
      <c r="H17" s="6">
        <f t="shared" si="1"/>
        <v>3.38</v>
      </c>
      <c r="I17" s="6">
        <f t="shared" si="2"/>
        <v>7.3</v>
      </c>
      <c r="J17" s="6">
        <f t="shared" si="3"/>
        <v>8.85</v>
      </c>
      <c r="K17" s="6"/>
      <c r="L17" t="str">
        <f t="shared" si="4"/>
        <v xml:space="preserve">    left: 49.78, top: 3.38, width: 7.3, height: 8.85,</v>
      </c>
    </row>
    <row r="18" spans="1:12" x14ac:dyDescent="0.25">
      <c r="A18" t="s">
        <v>278</v>
      </c>
      <c r="B18" s="6">
        <v>7.94</v>
      </c>
      <c r="C18" s="6">
        <v>0.62</v>
      </c>
      <c r="D18" s="6">
        <v>1.03</v>
      </c>
      <c r="E18" s="6">
        <v>1.71</v>
      </c>
      <c r="G18" s="6">
        <f t="shared" si="0"/>
        <v>57.96</v>
      </c>
      <c r="H18" s="6">
        <f t="shared" si="1"/>
        <v>3.33</v>
      </c>
      <c r="I18" s="6">
        <f t="shared" si="2"/>
        <v>7.52</v>
      </c>
      <c r="J18" s="6">
        <f t="shared" si="3"/>
        <v>9.17</v>
      </c>
      <c r="K18" s="6"/>
      <c r="L18" t="str">
        <f t="shared" si="4"/>
        <v xml:space="preserve">    left: 57.96, top: 3.33, width: 7.52, height: 9.17,</v>
      </c>
    </row>
    <row r="19" spans="1:12" x14ac:dyDescent="0.25">
      <c r="A19" t="s">
        <v>279</v>
      </c>
      <c r="B19" s="6">
        <v>8.5399999999999991</v>
      </c>
      <c r="C19" s="6">
        <v>2.76</v>
      </c>
      <c r="D19" s="6">
        <v>1.1000000000000001</v>
      </c>
      <c r="E19" s="6">
        <v>1.1599999999999999</v>
      </c>
      <c r="G19" s="6">
        <f t="shared" si="0"/>
        <v>62.34</v>
      </c>
      <c r="H19" s="6">
        <f t="shared" si="1"/>
        <v>14.81</v>
      </c>
      <c r="I19" s="6">
        <f t="shared" si="2"/>
        <v>8.0299999999999994</v>
      </c>
      <c r="J19" s="6">
        <f t="shared" si="3"/>
        <v>6.22</v>
      </c>
      <c r="K19" s="6"/>
      <c r="L19" t="str">
        <f t="shared" si="4"/>
        <v xml:space="preserve">    left: 62.34, top: 14.81, width: 8.03, height: 6.22,</v>
      </c>
    </row>
    <row r="20" spans="1:12" x14ac:dyDescent="0.25">
      <c r="A20" t="s">
        <v>280</v>
      </c>
      <c r="B20" s="6">
        <v>9.73</v>
      </c>
      <c r="C20" s="6">
        <v>2.64</v>
      </c>
      <c r="D20" s="6">
        <v>1.34</v>
      </c>
      <c r="E20" s="6">
        <v>2.59</v>
      </c>
      <c r="G20" s="6">
        <f t="shared" si="0"/>
        <v>71.02</v>
      </c>
      <c r="H20" s="6">
        <f t="shared" si="1"/>
        <v>14.16</v>
      </c>
      <c r="I20" s="6">
        <f t="shared" si="2"/>
        <v>9.7799999999999994</v>
      </c>
      <c r="J20" s="6">
        <f t="shared" si="3"/>
        <v>13.89</v>
      </c>
      <c r="K20" s="6"/>
      <c r="L20" t="str">
        <f t="shared" si="4"/>
        <v xml:space="preserve">    left: 71.02, top: 14.16, width: 9.78, height: 13.89,</v>
      </c>
    </row>
    <row r="21" spans="1:12" x14ac:dyDescent="0.25">
      <c r="A21" t="s">
        <v>467</v>
      </c>
      <c r="B21" s="6">
        <v>9.8800000000000008</v>
      </c>
      <c r="C21" s="6">
        <v>5.53</v>
      </c>
      <c r="D21" s="6">
        <v>1.79</v>
      </c>
      <c r="E21" s="6">
        <v>4.8899999999999997</v>
      </c>
      <c r="G21" s="6">
        <f t="shared" si="0"/>
        <v>72.12</v>
      </c>
      <c r="H21" s="6">
        <f t="shared" si="1"/>
        <v>29.67</v>
      </c>
      <c r="I21" s="6">
        <f t="shared" si="2"/>
        <v>13.07</v>
      </c>
      <c r="J21" s="6">
        <f t="shared" si="3"/>
        <v>26.23</v>
      </c>
      <c r="K21" s="6"/>
      <c r="L21" t="str">
        <f t="shared" si="4"/>
        <v xml:space="preserve">    left: 72.12, top: 29.67, width: 13.07, height: 26.23,</v>
      </c>
    </row>
    <row r="22" spans="1:12" x14ac:dyDescent="0.25">
      <c r="A22" t="s">
        <v>291</v>
      </c>
      <c r="B22" s="6">
        <v>6.87</v>
      </c>
      <c r="C22" s="6">
        <v>8.7100000000000009</v>
      </c>
      <c r="D22" s="6">
        <v>2.9</v>
      </c>
      <c r="E22" s="6">
        <v>2.16</v>
      </c>
      <c r="G22" s="6">
        <f t="shared" si="0"/>
        <v>50.15</v>
      </c>
      <c r="H22" s="6">
        <f t="shared" si="1"/>
        <v>46.73</v>
      </c>
      <c r="I22" s="6">
        <f t="shared" si="2"/>
        <v>21.17</v>
      </c>
      <c r="J22" s="6">
        <f t="shared" si="3"/>
        <v>11.59</v>
      </c>
      <c r="L22" t="str">
        <f t="shared" si="4"/>
        <v xml:space="preserve">    left: 50.15, top: 46.73, width: 21.17, height: 11.59,</v>
      </c>
    </row>
    <row r="23" spans="1:12" x14ac:dyDescent="0.25">
      <c r="A23" t="s">
        <v>465</v>
      </c>
      <c r="B23" s="6">
        <v>6.87</v>
      </c>
      <c r="C23" s="6">
        <v>5.49</v>
      </c>
      <c r="D23" s="6">
        <v>2.9</v>
      </c>
      <c r="E23" s="6">
        <v>3.14</v>
      </c>
      <c r="G23" s="6">
        <f t="shared" si="0"/>
        <v>50.15</v>
      </c>
      <c r="H23" s="6">
        <f t="shared" si="1"/>
        <v>29.45</v>
      </c>
      <c r="I23" s="6">
        <f t="shared" si="2"/>
        <v>21.17</v>
      </c>
      <c r="J23" s="6">
        <f t="shared" si="3"/>
        <v>16.850000000000001</v>
      </c>
      <c r="L23" t="str">
        <f t="shared" si="4"/>
        <v xml:space="preserve">    left: 50.15, top: 29.45, width: 21.17, height: 16.85,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workbookViewId="0">
      <selection activeCell="F24" sqref="F24"/>
    </sheetView>
  </sheetViews>
  <sheetFormatPr defaultRowHeight="15" x14ac:dyDescent="0.25"/>
  <cols>
    <col min="1" max="1" width="30.42578125" customWidth="1"/>
    <col min="2" max="2" width="40.5703125" customWidth="1"/>
    <col min="3" max="3" width="35.140625" customWidth="1"/>
    <col min="4" max="4" width="23.570312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171</v>
      </c>
    </row>
    <row r="2" spans="1:4" x14ac:dyDescent="0.25">
      <c r="A2" t="s">
        <v>172</v>
      </c>
      <c r="B2" t="s">
        <v>173</v>
      </c>
      <c r="C2" t="s">
        <v>234</v>
      </c>
      <c r="D2" t="s">
        <v>270</v>
      </c>
    </row>
    <row r="3" spans="1:4" x14ac:dyDescent="0.25">
      <c r="A3" t="s">
        <v>174</v>
      </c>
      <c r="B3" t="s">
        <v>175</v>
      </c>
      <c r="C3" t="s">
        <v>235</v>
      </c>
      <c r="D3" t="s">
        <v>270</v>
      </c>
    </row>
    <row r="4" spans="1:4" x14ac:dyDescent="0.25">
      <c r="A4" t="s">
        <v>176</v>
      </c>
      <c r="B4" t="s">
        <v>177</v>
      </c>
      <c r="C4" t="s">
        <v>236</v>
      </c>
      <c r="D4" t="s">
        <v>270</v>
      </c>
    </row>
    <row r="5" spans="1:4" x14ac:dyDescent="0.25">
      <c r="A5" t="s">
        <v>188</v>
      </c>
      <c r="B5" t="s">
        <v>231</v>
      </c>
      <c r="C5" t="s">
        <v>237</v>
      </c>
      <c r="D5" t="s">
        <v>270</v>
      </c>
    </row>
    <row r="6" spans="1:4" x14ac:dyDescent="0.25">
      <c r="A6" t="s">
        <v>187</v>
      </c>
      <c r="B6" t="s">
        <v>209</v>
      </c>
      <c r="C6" t="s">
        <v>238</v>
      </c>
      <c r="D6" t="s">
        <v>270</v>
      </c>
    </row>
    <row r="7" spans="1:4" x14ac:dyDescent="0.25">
      <c r="A7" t="s">
        <v>189</v>
      </c>
      <c r="B7" t="s">
        <v>210</v>
      </c>
      <c r="C7" t="s">
        <v>239</v>
      </c>
      <c r="D7" t="s">
        <v>270</v>
      </c>
    </row>
    <row r="8" spans="1:4" x14ac:dyDescent="0.25">
      <c r="A8" t="s">
        <v>182</v>
      </c>
      <c r="B8" t="s">
        <v>211</v>
      </c>
      <c r="C8" t="s">
        <v>240</v>
      </c>
      <c r="D8" t="s">
        <v>270</v>
      </c>
    </row>
    <row r="9" spans="1:4" x14ac:dyDescent="0.25">
      <c r="A9" t="s">
        <v>190</v>
      </c>
      <c r="B9" t="s">
        <v>212</v>
      </c>
      <c r="C9" t="s">
        <v>241</v>
      </c>
      <c r="D9" t="s">
        <v>270</v>
      </c>
    </row>
    <row r="10" spans="1:4" x14ac:dyDescent="0.25">
      <c r="A10" t="s">
        <v>183</v>
      </c>
      <c r="B10" t="s">
        <v>213</v>
      </c>
      <c r="C10" t="s">
        <v>242</v>
      </c>
      <c r="D10" t="s">
        <v>270</v>
      </c>
    </row>
    <row r="11" spans="1:4" x14ac:dyDescent="0.25">
      <c r="A11" t="s">
        <v>184</v>
      </c>
      <c r="B11" t="s">
        <v>214</v>
      </c>
      <c r="C11" t="s">
        <v>243</v>
      </c>
      <c r="D11" t="s">
        <v>270</v>
      </c>
    </row>
    <row r="12" spans="1:4" x14ac:dyDescent="0.25">
      <c r="A12" t="s">
        <v>191</v>
      </c>
      <c r="B12" t="s">
        <v>215</v>
      </c>
      <c r="C12" t="s">
        <v>244</v>
      </c>
      <c r="D12" t="s">
        <v>270</v>
      </c>
    </row>
    <row r="13" spans="1:4" x14ac:dyDescent="0.25">
      <c r="A13" t="s">
        <v>192</v>
      </c>
      <c r="B13" t="s">
        <v>209</v>
      </c>
      <c r="C13" t="s">
        <v>245</v>
      </c>
      <c r="D13" t="s">
        <v>270</v>
      </c>
    </row>
    <row r="14" spans="1:4" x14ac:dyDescent="0.25">
      <c r="A14" t="s">
        <v>216</v>
      </c>
      <c r="B14" t="s">
        <v>217</v>
      </c>
      <c r="C14" t="s">
        <v>246</v>
      </c>
      <c r="D14" t="s">
        <v>270</v>
      </c>
    </row>
    <row r="15" spans="1:4" x14ac:dyDescent="0.25">
      <c r="A15" t="s">
        <v>178</v>
      </c>
      <c r="B15" t="s">
        <v>218</v>
      </c>
      <c r="C15" t="s">
        <v>247</v>
      </c>
      <c r="D15" t="s">
        <v>270</v>
      </c>
    </row>
    <row r="16" spans="1:4" x14ac:dyDescent="0.25">
      <c r="A16" t="s">
        <v>193</v>
      </c>
      <c r="B16" t="s">
        <v>219</v>
      </c>
      <c r="C16" t="s">
        <v>248</v>
      </c>
      <c r="D16" t="s">
        <v>270</v>
      </c>
    </row>
    <row r="17" spans="1:4" x14ac:dyDescent="0.25">
      <c r="A17" t="s">
        <v>194</v>
      </c>
      <c r="B17" t="s">
        <v>220</v>
      </c>
      <c r="C17" t="s">
        <v>249</v>
      </c>
      <c r="D17" t="s">
        <v>270</v>
      </c>
    </row>
    <row r="18" spans="1:4" x14ac:dyDescent="0.25">
      <c r="A18" t="s">
        <v>195</v>
      </c>
      <c r="B18" t="s">
        <v>221</v>
      </c>
      <c r="C18" t="s">
        <v>250</v>
      </c>
      <c r="D18" t="s">
        <v>270</v>
      </c>
    </row>
    <row r="19" spans="1:4" x14ac:dyDescent="0.25">
      <c r="A19" t="s">
        <v>196</v>
      </c>
      <c r="B19" t="s">
        <v>222</v>
      </c>
      <c r="C19" t="s">
        <v>251</v>
      </c>
      <c r="D19" t="s">
        <v>270</v>
      </c>
    </row>
    <row r="20" spans="1:4" x14ac:dyDescent="0.25">
      <c r="A20" t="s">
        <v>197</v>
      </c>
      <c r="B20" t="s">
        <v>177</v>
      </c>
      <c r="C20" t="s">
        <v>252</v>
      </c>
      <c r="D20" t="s">
        <v>270</v>
      </c>
    </row>
    <row r="21" spans="1:4" x14ac:dyDescent="0.25">
      <c r="A21" t="s">
        <v>198</v>
      </c>
      <c r="B21" t="s">
        <v>220</v>
      </c>
      <c r="C21" t="s">
        <v>253</v>
      </c>
      <c r="D21" t="s">
        <v>270</v>
      </c>
    </row>
    <row r="22" spans="1:4" x14ac:dyDescent="0.25">
      <c r="A22" t="s">
        <v>179</v>
      </c>
      <c r="B22" t="s">
        <v>222</v>
      </c>
      <c r="C22" t="s">
        <v>254</v>
      </c>
      <c r="D22" t="s">
        <v>270</v>
      </c>
    </row>
    <row r="23" spans="1:4" x14ac:dyDescent="0.25">
      <c r="A23" t="s">
        <v>180</v>
      </c>
      <c r="B23" t="s">
        <v>210</v>
      </c>
      <c r="C23" t="s">
        <v>255</v>
      </c>
      <c r="D23" t="s">
        <v>270</v>
      </c>
    </row>
    <row r="24" spans="1:4" x14ac:dyDescent="0.25">
      <c r="A24" t="s">
        <v>199</v>
      </c>
      <c r="B24" t="s">
        <v>223</v>
      </c>
      <c r="C24" t="s">
        <v>256</v>
      </c>
      <c r="D24" t="s">
        <v>270</v>
      </c>
    </row>
    <row r="25" spans="1:4" x14ac:dyDescent="0.25">
      <c r="A25" t="s">
        <v>200</v>
      </c>
      <c r="B25" t="s">
        <v>224</v>
      </c>
      <c r="C25" t="s">
        <v>257</v>
      </c>
      <c r="D25" t="s">
        <v>270</v>
      </c>
    </row>
    <row r="26" spans="1:4" x14ac:dyDescent="0.25">
      <c r="A26" t="s">
        <v>201</v>
      </c>
      <c r="B26" t="s">
        <v>225</v>
      </c>
      <c r="C26" t="s">
        <v>258</v>
      </c>
      <c r="D26" t="s">
        <v>270</v>
      </c>
    </row>
    <row r="27" spans="1:4" x14ac:dyDescent="0.25">
      <c r="A27" t="s">
        <v>202</v>
      </c>
      <c r="B27" t="s">
        <v>215</v>
      </c>
      <c r="C27" t="s">
        <v>259</v>
      </c>
      <c r="D27" t="s">
        <v>270</v>
      </c>
    </row>
    <row r="28" spans="1:4" x14ac:dyDescent="0.25">
      <c r="A28" t="s">
        <v>232</v>
      </c>
      <c r="B28" t="s">
        <v>233</v>
      </c>
      <c r="C28" t="s">
        <v>260</v>
      </c>
      <c r="D28" t="s">
        <v>270</v>
      </c>
    </row>
    <row r="29" spans="1:4" x14ac:dyDescent="0.25">
      <c r="A29" t="s">
        <v>186</v>
      </c>
      <c r="B29" t="s">
        <v>225</v>
      </c>
      <c r="C29" t="s">
        <v>261</v>
      </c>
      <c r="D29" t="s">
        <v>270</v>
      </c>
    </row>
    <row r="30" spans="1:4" x14ac:dyDescent="0.25">
      <c r="A30" t="s">
        <v>203</v>
      </c>
      <c r="B30" t="s">
        <v>220</v>
      </c>
      <c r="C30" t="s">
        <v>262</v>
      </c>
      <c r="D30" t="s">
        <v>270</v>
      </c>
    </row>
    <row r="31" spans="1:4" x14ac:dyDescent="0.25">
      <c r="A31" t="s">
        <v>204</v>
      </c>
      <c r="B31" t="s">
        <v>226</v>
      </c>
      <c r="C31" t="s">
        <v>263</v>
      </c>
      <c r="D31" t="s">
        <v>270</v>
      </c>
    </row>
    <row r="32" spans="1:4" x14ac:dyDescent="0.25">
      <c r="A32" t="s">
        <v>205</v>
      </c>
      <c r="B32" t="s">
        <v>210</v>
      </c>
      <c r="C32" t="s">
        <v>264</v>
      </c>
      <c r="D32" t="s">
        <v>270</v>
      </c>
    </row>
    <row r="33" spans="1:4" x14ac:dyDescent="0.25">
      <c r="A33" t="s">
        <v>206</v>
      </c>
      <c r="B33" t="s">
        <v>227</v>
      </c>
      <c r="C33" t="s">
        <v>265</v>
      </c>
      <c r="D33" t="s">
        <v>270</v>
      </c>
    </row>
    <row r="34" spans="1:4" x14ac:dyDescent="0.25">
      <c r="A34" t="s">
        <v>207</v>
      </c>
      <c r="B34" t="s">
        <v>228</v>
      </c>
      <c r="C34" t="s">
        <v>266</v>
      </c>
      <c r="D34" t="s">
        <v>270</v>
      </c>
    </row>
    <row r="35" spans="1:4" x14ac:dyDescent="0.25">
      <c r="A35" t="s">
        <v>208</v>
      </c>
      <c r="B35" t="s">
        <v>229</v>
      </c>
      <c r="C35" t="s">
        <v>267</v>
      </c>
      <c r="D35" t="s">
        <v>270</v>
      </c>
    </row>
    <row r="36" spans="1:4" x14ac:dyDescent="0.25">
      <c r="A36" t="s">
        <v>185</v>
      </c>
      <c r="B36" t="s">
        <v>177</v>
      </c>
      <c r="C36" t="s">
        <v>268</v>
      </c>
      <c r="D36" t="s">
        <v>270</v>
      </c>
    </row>
    <row r="37" spans="1:4" x14ac:dyDescent="0.25">
      <c r="A37" t="s">
        <v>181</v>
      </c>
      <c r="B37" t="s">
        <v>230</v>
      </c>
      <c r="C37" t="s">
        <v>269</v>
      </c>
      <c r="D37" t="s">
        <v>270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Views>
    <sheetView topLeftCell="A41" zoomScale="80" zoomScaleNormal="80" workbookViewId="0">
      <selection activeCell="E29" sqref="E29"/>
    </sheetView>
  </sheetViews>
  <sheetFormatPr defaultRowHeight="15" x14ac:dyDescent="0.25"/>
  <cols>
    <col min="1" max="1" width="39.28515625" customWidth="1"/>
    <col min="2" max="2" width="8.140625" customWidth="1"/>
    <col min="3" max="3" width="19.140625" customWidth="1"/>
    <col min="4" max="4" width="59.140625" customWidth="1"/>
    <col min="5" max="5" width="56.28515625" customWidth="1"/>
  </cols>
  <sheetData>
    <row r="1" spans="1:5" x14ac:dyDescent="0.25">
      <c r="A1" t="s">
        <v>463</v>
      </c>
      <c r="B1" t="s">
        <v>401</v>
      </c>
      <c r="C1" t="s">
        <v>292</v>
      </c>
      <c r="D1" t="s">
        <v>293</v>
      </c>
    </row>
    <row r="2" spans="1:5" x14ac:dyDescent="0.25">
      <c r="A2" t="s">
        <v>294</v>
      </c>
      <c r="B2">
        <v>1</v>
      </c>
      <c r="C2" t="s">
        <v>399</v>
      </c>
      <c r="D2" t="s">
        <v>177</v>
      </c>
      <c r="E2" t="s">
        <v>404</v>
      </c>
    </row>
    <row r="3" spans="1:5" x14ac:dyDescent="0.25">
      <c r="A3" t="s">
        <v>295</v>
      </c>
      <c r="B3">
        <v>2</v>
      </c>
      <c r="C3" t="s">
        <v>300</v>
      </c>
      <c r="D3" t="s">
        <v>175</v>
      </c>
      <c r="E3" t="s">
        <v>403</v>
      </c>
    </row>
    <row r="4" spans="1:5" x14ac:dyDescent="0.25">
      <c r="A4" t="s">
        <v>296</v>
      </c>
      <c r="B4">
        <v>2</v>
      </c>
      <c r="C4" t="s">
        <v>300</v>
      </c>
      <c r="D4" t="s">
        <v>297</v>
      </c>
      <c r="E4" t="s">
        <v>437</v>
      </c>
    </row>
    <row r="5" spans="1:5" x14ac:dyDescent="0.25">
      <c r="A5" t="s">
        <v>191</v>
      </c>
      <c r="B5">
        <v>2</v>
      </c>
      <c r="C5" t="s">
        <v>300</v>
      </c>
      <c r="D5" t="s">
        <v>215</v>
      </c>
      <c r="E5" t="s">
        <v>408</v>
      </c>
    </row>
    <row r="6" spans="1:5" x14ac:dyDescent="0.25">
      <c r="A6" t="s">
        <v>298</v>
      </c>
      <c r="B6">
        <v>2</v>
      </c>
      <c r="C6" t="s">
        <v>300</v>
      </c>
      <c r="D6" t="s">
        <v>299</v>
      </c>
      <c r="E6" t="s">
        <v>409</v>
      </c>
    </row>
    <row r="7" spans="1:5" x14ac:dyDescent="0.25">
      <c r="A7" t="s">
        <v>178</v>
      </c>
      <c r="B7">
        <v>2</v>
      </c>
      <c r="C7" t="s">
        <v>300</v>
      </c>
      <c r="D7" t="s">
        <v>301</v>
      </c>
      <c r="E7" t="s">
        <v>410</v>
      </c>
    </row>
    <row r="8" spans="1:5" x14ac:dyDescent="0.25">
      <c r="A8" t="s">
        <v>193</v>
      </c>
      <c r="B8">
        <v>2</v>
      </c>
      <c r="C8" t="s">
        <v>300</v>
      </c>
      <c r="D8" t="s">
        <v>302</v>
      </c>
      <c r="E8" t="s">
        <v>411</v>
      </c>
    </row>
    <row r="9" spans="1:5" x14ac:dyDescent="0.25">
      <c r="A9" t="s">
        <v>303</v>
      </c>
      <c r="B9">
        <v>2</v>
      </c>
      <c r="C9" t="s">
        <v>300</v>
      </c>
      <c r="D9" t="s">
        <v>391</v>
      </c>
      <c r="E9" t="s">
        <v>412</v>
      </c>
    </row>
    <row r="10" spans="1:5" x14ac:dyDescent="0.25">
      <c r="A10" t="s">
        <v>196</v>
      </c>
      <c r="B10">
        <v>2</v>
      </c>
      <c r="C10" t="s">
        <v>300</v>
      </c>
      <c r="D10" t="s">
        <v>392</v>
      </c>
      <c r="E10" t="s">
        <v>413</v>
      </c>
    </row>
    <row r="11" spans="1:5" x14ac:dyDescent="0.25">
      <c r="A11" t="s">
        <v>304</v>
      </c>
      <c r="B11">
        <v>2</v>
      </c>
      <c r="C11" t="s">
        <v>300</v>
      </c>
      <c r="D11" t="s">
        <v>305</v>
      </c>
      <c r="E11" t="s">
        <v>441</v>
      </c>
    </row>
    <row r="12" spans="1:5" x14ac:dyDescent="0.25">
      <c r="A12" t="s">
        <v>306</v>
      </c>
      <c r="B12">
        <v>2</v>
      </c>
      <c r="C12" t="s">
        <v>300</v>
      </c>
      <c r="D12" t="s">
        <v>397</v>
      </c>
      <c r="E12" t="s">
        <v>443</v>
      </c>
    </row>
    <row r="13" spans="1:5" x14ac:dyDescent="0.25">
      <c r="A13" t="s">
        <v>307</v>
      </c>
      <c r="B13">
        <v>2</v>
      </c>
      <c r="C13" t="s">
        <v>300</v>
      </c>
      <c r="D13" t="s">
        <v>226</v>
      </c>
      <c r="E13" t="s">
        <v>425</v>
      </c>
    </row>
    <row r="14" spans="1:5" x14ac:dyDescent="0.25">
      <c r="A14" t="s">
        <v>308</v>
      </c>
      <c r="B14">
        <v>2</v>
      </c>
      <c r="C14" t="s">
        <v>300</v>
      </c>
      <c r="D14" t="s">
        <v>309</v>
      </c>
      <c r="E14" t="s">
        <v>429</v>
      </c>
    </row>
    <row r="15" spans="1:5" x14ac:dyDescent="0.25">
      <c r="A15" t="s">
        <v>312</v>
      </c>
      <c r="B15">
        <v>3</v>
      </c>
      <c r="C15" t="s">
        <v>398</v>
      </c>
      <c r="D15" t="s">
        <v>173</v>
      </c>
      <c r="E15" t="s">
        <v>402</v>
      </c>
    </row>
    <row r="16" spans="1:5" x14ac:dyDescent="0.25">
      <c r="A16" t="s">
        <v>313</v>
      </c>
      <c r="B16">
        <v>3</v>
      </c>
      <c r="C16" t="s">
        <v>398</v>
      </c>
      <c r="D16" t="s">
        <v>393</v>
      </c>
      <c r="E16" t="s">
        <v>436</v>
      </c>
    </row>
    <row r="17" spans="1:5" x14ac:dyDescent="0.25">
      <c r="A17" t="s">
        <v>314</v>
      </c>
      <c r="B17">
        <v>3</v>
      </c>
      <c r="C17" t="s">
        <v>398</v>
      </c>
      <c r="D17" t="s">
        <v>315</v>
      </c>
      <c r="E17" t="s">
        <v>405</v>
      </c>
    </row>
    <row r="18" spans="1:5" x14ac:dyDescent="0.25">
      <c r="A18" t="s">
        <v>316</v>
      </c>
      <c r="B18">
        <v>3</v>
      </c>
      <c r="C18" t="s">
        <v>398</v>
      </c>
      <c r="D18" t="s">
        <v>214</v>
      </c>
      <c r="E18" t="s">
        <v>406</v>
      </c>
    </row>
    <row r="19" spans="1:5" x14ac:dyDescent="0.25">
      <c r="A19" t="s">
        <v>317</v>
      </c>
      <c r="B19">
        <v>3</v>
      </c>
      <c r="C19" t="s">
        <v>398</v>
      </c>
      <c r="D19" t="s">
        <v>318</v>
      </c>
      <c r="E19" t="s">
        <v>414</v>
      </c>
    </row>
    <row r="20" spans="1:5" x14ac:dyDescent="0.25">
      <c r="A20" t="s">
        <v>400</v>
      </c>
      <c r="B20">
        <v>3</v>
      </c>
      <c r="C20" t="s">
        <v>398</v>
      </c>
      <c r="D20" t="s">
        <v>319</v>
      </c>
      <c r="E20" t="s">
        <v>422</v>
      </c>
    </row>
    <row r="21" spans="1:5" x14ac:dyDescent="0.25">
      <c r="A21" t="s">
        <v>320</v>
      </c>
      <c r="B21">
        <v>3</v>
      </c>
      <c r="C21" t="s">
        <v>398</v>
      </c>
      <c r="D21" t="s">
        <v>394</v>
      </c>
      <c r="E21" t="s">
        <v>438</v>
      </c>
    </row>
    <row r="22" spans="1:5" x14ac:dyDescent="0.25">
      <c r="A22" t="s">
        <v>321</v>
      </c>
      <c r="B22">
        <v>3</v>
      </c>
      <c r="C22" t="s">
        <v>398</v>
      </c>
      <c r="D22" t="s">
        <v>322</v>
      </c>
      <c r="E22" t="s">
        <v>415</v>
      </c>
    </row>
    <row r="23" spans="1:5" x14ac:dyDescent="0.25">
      <c r="A23" t="s">
        <v>323</v>
      </c>
      <c r="B23">
        <v>3</v>
      </c>
      <c r="C23" t="s">
        <v>398</v>
      </c>
      <c r="D23" t="s">
        <v>324</v>
      </c>
      <c r="E23" t="s">
        <v>416</v>
      </c>
    </row>
    <row r="24" spans="1:5" x14ac:dyDescent="0.25">
      <c r="A24" t="s">
        <v>310</v>
      </c>
      <c r="B24">
        <v>3</v>
      </c>
      <c r="C24" t="s">
        <v>398</v>
      </c>
      <c r="D24" t="s">
        <v>311</v>
      </c>
      <c r="E24" t="s">
        <v>440</v>
      </c>
    </row>
    <row r="25" spans="1:5" x14ac:dyDescent="0.25">
      <c r="A25" t="s">
        <v>325</v>
      </c>
      <c r="B25">
        <v>3</v>
      </c>
      <c r="C25" t="s">
        <v>398</v>
      </c>
      <c r="D25" t="s">
        <v>222</v>
      </c>
      <c r="E25" t="s">
        <v>418</v>
      </c>
    </row>
    <row r="26" spans="1:5" x14ac:dyDescent="0.25">
      <c r="A26" t="s">
        <v>326</v>
      </c>
      <c r="B26">
        <v>3</v>
      </c>
      <c r="C26" t="s">
        <v>398</v>
      </c>
      <c r="D26" t="s">
        <v>362</v>
      </c>
      <c r="E26" t="s">
        <v>417</v>
      </c>
    </row>
    <row r="27" spans="1:5" x14ac:dyDescent="0.25">
      <c r="A27" t="s">
        <v>327</v>
      </c>
      <c r="B27">
        <v>3</v>
      </c>
      <c r="C27" t="s">
        <v>398</v>
      </c>
      <c r="D27" t="s">
        <v>328</v>
      </c>
      <c r="E27" t="s">
        <v>421</v>
      </c>
    </row>
    <row r="28" spans="1:5" x14ac:dyDescent="0.25">
      <c r="A28" t="s">
        <v>329</v>
      </c>
      <c r="B28">
        <v>3</v>
      </c>
      <c r="C28" t="s">
        <v>398</v>
      </c>
      <c r="D28" t="s">
        <v>330</v>
      </c>
      <c r="E28" t="s">
        <v>460</v>
      </c>
    </row>
    <row r="29" spans="1:5" x14ac:dyDescent="0.25">
      <c r="A29" t="s">
        <v>331</v>
      </c>
      <c r="B29">
        <v>3</v>
      </c>
      <c r="C29" t="s">
        <v>398</v>
      </c>
      <c r="D29" t="s">
        <v>332</v>
      </c>
      <c r="E29" t="s">
        <v>464</v>
      </c>
    </row>
    <row r="30" spans="1:5" x14ac:dyDescent="0.25">
      <c r="A30" t="s">
        <v>333</v>
      </c>
      <c r="B30">
        <v>3</v>
      </c>
      <c r="C30" t="s">
        <v>398</v>
      </c>
      <c r="D30" t="s">
        <v>233</v>
      </c>
      <c r="E30" t="s">
        <v>423</v>
      </c>
    </row>
    <row r="31" spans="1:5" x14ac:dyDescent="0.25">
      <c r="A31" t="s">
        <v>334</v>
      </c>
      <c r="B31">
        <v>3</v>
      </c>
      <c r="C31" t="s">
        <v>398</v>
      </c>
      <c r="D31" t="s">
        <v>210</v>
      </c>
      <c r="E31" t="s">
        <v>446</v>
      </c>
    </row>
    <row r="32" spans="1:5" x14ac:dyDescent="0.25">
      <c r="A32" t="s">
        <v>335</v>
      </c>
      <c r="B32">
        <v>3</v>
      </c>
      <c r="C32" t="s">
        <v>398</v>
      </c>
      <c r="D32" t="s">
        <v>225</v>
      </c>
      <c r="E32" t="s">
        <v>424</v>
      </c>
    </row>
    <row r="33" spans="1:5" x14ac:dyDescent="0.25">
      <c r="A33" t="s">
        <v>336</v>
      </c>
      <c r="B33">
        <v>3</v>
      </c>
      <c r="C33" t="s">
        <v>398</v>
      </c>
      <c r="D33" t="s">
        <v>337</v>
      </c>
      <c r="E33" t="s">
        <v>449</v>
      </c>
    </row>
    <row r="34" spans="1:5" x14ac:dyDescent="0.25">
      <c r="A34" t="s">
        <v>338</v>
      </c>
      <c r="B34">
        <v>3</v>
      </c>
      <c r="C34" t="s">
        <v>398</v>
      </c>
      <c r="D34" t="s">
        <v>227</v>
      </c>
      <c r="E34" t="s">
        <v>426</v>
      </c>
    </row>
    <row r="35" spans="1:5" x14ac:dyDescent="0.25">
      <c r="A35" t="s">
        <v>205</v>
      </c>
      <c r="B35">
        <v>3</v>
      </c>
      <c r="C35" t="s">
        <v>398</v>
      </c>
      <c r="D35" t="s">
        <v>210</v>
      </c>
      <c r="E35" t="s">
        <v>427</v>
      </c>
    </row>
    <row r="36" spans="1:5" x14ac:dyDescent="0.25">
      <c r="A36" t="s">
        <v>339</v>
      </c>
      <c r="B36">
        <v>3</v>
      </c>
      <c r="C36" t="s">
        <v>398</v>
      </c>
      <c r="D36" t="s">
        <v>228</v>
      </c>
      <c r="E36" t="s">
        <v>428</v>
      </c>
    </row>
    <row r="37" spans="1:5" x14ac:dyDescent="0.25">
      <c r="A37" t="s">
        <v>340</v>
      </c>
      <c r="B37">
        <v>3</v>
      </c>
      <c r="C37" t="s">
        <v>398</v>
      </c>
      <c r="D37" t="s">
        <v>341</v>
      </c>
      <c r="E37" t="s">
        <v>450</v>
      </c>
    </row>
    <row r="38" spans="1:5" x14ac:dyDescent="0.25">
      <c r="A38" t="s">
        <v>342</v>
      </c>
      <c r="B38">
        <v>3</v>
      </c>
      <c r="C38" t="s">
        <v>398</v>
      </c>
      <c r="D38" t="s">
        <v>343</v>
      </c>
      <c r="E38" t="s">
        <v>407</v>
      </c>
    </row>
    <row r="39" spans="1:5" x14ac:dyDescent="0.25">
      <c r="A39" t="s">
        <v>347</v>
      </c>
      <c r="B39">
        <v>4</v>
      </c>
      <c r="C39" t="s">
        <v>345</v>
      </c>
      <c r="D39" t="s">
        <v>348</v>
      </c>
      <c r="E39" t="s">
        <v>462</v>
      </c>
    </row>
    <row r="40" spans="1:5" x14ac:dyDescent="0.25">
      <c r="A40" t="s">
        <v>349</v>
      </c>
      <c r="B40">
        <v>4</v>
      </c>
      <c r="C40" t="s">
        <v>345</v>
      </c>
      <c r="D40" t="s">
        <v>350</v>
      </c>
      <c r="E40" t="s">
        <v>432</v>
      </c>
    </row>
    <row r="41" spans="1:5" x14ac:dyDescent="0.25">
      <c r="A41" t="s">
        <v>351</v>
      </c>
      <c r="B41">
        <v>4</v>
      </c>
      <c r="C41" t="s">
        <v>345</v>
      </c>
      <c r="D41" t="s">
        <v>352</v>
      </c>
      <c r="E41" t="s">
        <v>452</v>
      </c>
    </row>
    <row r="42" spans="1:5" x14ac:dyDescent="0.25">
      <c r="A42" t="s">
        <v>431</v>
      </c>
      <c r="B42">
        <v>4</v>
      </c>
      <c r="C42" t="s">
        <v>345</v>
      </c>
      <c r="D42" t="s">
        <v>353</v>
      </c>
      <c r="E42" t="s">
        <v>435</v>
      </c>
    </row>
    <row r="43" spans="1:5" x14ac:dyDescent="0.25">
      <c r="A43" t="s">
        <v>354</v>
      </c>
      <c r="B43">
        <v>4</v>
      </c>
      <c r="C43" t="s">
        <v>345</v>
      </c>
      <c r="D43" t="s">
        <v>355</v>
      </c>
      <c r="E43" t="s">
        <v>456</v>
      </c>
    </row>
    <row r="44" spans="1:5" x14ac:dyDescent="0.25">
      <c r="A44" t="s">
        <v>356</v>
      </c>
      <c r="B44">
        <v>4</v>
      </c>
      <c r="C44" t="s">
        <v>345</v>
      </c>
      <c r="D44" t="s">
        <v>357</v>
      </c>
      <c r="E44" t="s">
        <v>452</v>
      </c>
    </row>
    <row r="45" spans="1:5" x14ac:dyDescent="0.25">
      <c r="A45" t="s">
        <v>358</v>
      </c>
      <c r="B45">
        <v>4</v>
      </c>
      <c r="C45" t="s">
        <v>345</v>
      </c>
      <c r="D45" t="s">
        <v>359</v>
      </c>
      <c r="E45" t="s">
        <v>459</v>
      </c>
    </row>
    <row r="46" spans="1:5" x14ac:dyDescent="0.25">
      <c r="A46" t="s">
        <v>360</v>
      </c>
      <c r="B46">
        <v>4</v>
      </c>
      <c r="C46" t="s">
        <v>345</v>
      </c>
      <c r="D46" t="s">
        <v>214</v>
      </c>
      <c r="E46" t="s">
        <v>457</v>
      </c>
    </row>
    <row r="47" spans="1:5" x14ac:dyDescent="0.25">
      <c r="A47" t="s">
        <v>361</v>
      </c>
      <c r="B47">
        <v>4</v>
      </c>
      <c r="C47" t="s">
        <v>345</v>
      </c>
      <c r="D47" t="s">
        <v>362</v>
      </c>
      <c r="E47" t="s">
        <v>433</v>
      </c>
    </row>
    <row r="48" spans="1:5" x14ac:dyDescent="0.25">
      <c r="A48" t="s">
        <v>363</v>
      </c>
      <c r="B48">
        <v>4</v>
      </c>
      <c r="C48" t="s">
        <v>345</v>
      </c>
      <c r="D48" t="s">
        <v>364</v>
      </c>
      <c r="E48" t="s">
        <v>452</v>
      </c>
    </row>
    <row r="49" spans="1:5" x14ac:dyDescent="0.25">
      <c r="A49" t="s">
        <v>365</v>
      </c>
      <c r="B49">
        <v>4</v>
      </c>
      <c r="C49" t="s">
        <v>345</v>
      </c>
      <c r="D49" t="s">
        <v>214</v>
      </c>
      <c r="E49" t="s">
        <v>455</v>
      </c>
    </row>
    <row r="50" spans="1:5" x14ac:dyDescent="0.25">
      <c r="A50" t="s">
        <v>451</v>
      </c>
      <c r="B50">
        <v>4</v>
      </c>
      <c r="C50" t="s">
        <v>345</v>
      </c>
      <c r="D50" t="s">
        <v>222</v>
      </c>
      <c r="E50" t="s">
        <v>454</v>
      </c>
    </row>
    <row r="51" spans="1:5" x14ac:dyDescent="0.25">
      <c r="A51" t="s">
        <v>366</v>
      </c>
      <c r="B51">
        <v>4</v>
      </c>
      <c r="C51" t="s">
        <v>345</v>
      </c>
      <c r="D51" t="s">
        <v>367</v>
      </c>
      <c r="E51" t="s">
        <v>452</v>
      </c>
    </row>
    <row r="52" spans="1:5" x14ac:dyDescent="0.25">
      <c r="A52" t="s">
        <v>368</v>
      </c>
      <c r="B52">
        <v>4</v>
      </c>
      <c r="C52" t="s">
        <v>345</v>
      </c>
      <c r="D52" t="s">
        <v>369</v>
      </c>
      <c r="E52" t="s">
        <v>452</v>
      </c>
    </row>
    <row r="53" spans="1:5" x14ac:dyDescent="0.25">
      <c r="A53" t="s">
        <v>370</v>
      </c>
      <c r="B53">
        <v>4</v>
      </c>
      <c r="C53" t="s">
        <v>345</v>
      </c>
      <c r="D53" t="s">
        <v>367</v>
      </c>
      <c r="E53" t="s">
        <v>452</v>
      </c>
    </row>
    <row r="54" spans="1:5" x14ac:dyDescent="0.25">
      <c r="A54" t="s">
        <v>371</v>
      </c>
      <c r="B54">
        <v>4</v>
      </c>
      <c r="C54" t="s">
        <v>345</v>
      </c>
      <c r="D54" t="s">
        <v>353</v>
      </c>
      <c r="E54" t="s">
        <v>453</v>
      </c>
    </row>
    <row r="55" spans="1:5" x14ac:dyDescent="0.25">
      <c r="A55" t="s">
        <v>372</v>
      </c>
      <c r="B55">
        <v>4</v>
      </c>
      <c r="C55" t="s">
        <v>345</v>
      </c>
      <c r="D55" t="s">
        <v>373</v>
      </c>
      <c r="E55" t="s">
        <v>439</v>
      </c>
    </row>
    <row r="56" spans="1:5" x14ac:dyDescent="0.25">
      <c r="A56" t="s">
        <v>374</v>
      </c>
      <c r="B56">
        <v>4</v>
      </c>
      <c r="C56" t="s">
        <v>345</v>
      </c>
      <c r="D56" t="s">
        <v>375</v>
      </c>
      <c r="E56" t="s">
        <v>434</v>
      </c>
    </row>
    <row r="57" spans="1:5" x14ac:dyDescent="0.25">
      <c r="A57" t="s">
        <v>376</v>
      </c>
      <c r="B57">
        <v>4</v>
      </c>
      <c r="C57" t="s">
        <v>345</v>
      </c>
      <c r="D57" t="s">
        <v>377</v>
      </c>
      <c r="E57" t="s">
        <v>458</v>
      </c>
    </row>
    <row r="58" spans="1:5" x14ac:dyDescent="0.25">
      <c r="A58" t="s">
        <v>378</v>
      </c>
      <c r="B58">
        <v>4</v>
      </c>
      <c r="C58" t="s">
        <v>345</v>
      </c>
      <c r="D58" t="s">
        <v>396</v>
      </c>
      <c r="E58" t="s">
        <v>419</v>
      </c>
    </row>
    <row r="59" spans="1:5" x14ac:dyDescent="0.25">
      <c r="A59" t="s">
        <v>379</v>
      </c>
      <c r="B59">
        <v>4</v>
      </c>
      <c r="C59" t="s">
        <v>345</v>
      </c>
      <c r="D59" t="s">
        <v>396</v>
      </c>
      <c r="E59" t="s">
        <v>452</v>
      </c>
    </row>
    <row r="60" spans="1:5" x14ac:dyDescent="0.25">
      <c r="A60" t="s">
        <v>199</v>
      </c>
      <c r="B60">
        <v>4</v>
      </c>
      <c r="C60" t="s">
        <v>345</v>
      </c>
      <c r="D60" t="s">
        <v>353</v>
      </c>
      <c r="E60" t="s">
        <v>420</v>
      </c>
    </row>
    <row r="61" spans="1:5" x14ac:dyDescent="0.25">
      <c r="A61" t="s">
        <v>344</v>
      </c>
      <c r="B61">
        <v>4</v>
      </c>
      <c r="C61" t="s">
        <v>345</v>
      </c>
      <c r="D61" t="s">
        <v>346</v>
      </c>
      <c r="E61" t="s">
        <v>442</v>
      </c>
    </row>
    <row r="62" spans="1:5" x14ac:dyDescent="0.25">
      <c r="A62" t="s">
        <v>380</v>
      </c>
      <c r="B62">
        <v>4</v>
      </c>
      <c r="C62" t="s">
        <v>345</v>
      </c>
      <c r="D62" t="s">
        <v>367</v>
      </c>
      <c r="E62" t="s">
        <v>452</v>
      </c>
    </row>
    <row r="63" spans="1:5" x14ac:dyDescent="0.25">
      <c r="A63" t="s">
        <v>381</v>
      </c>
      <c r="B63">
        <v>4</v>
      </c>
      <c r="C63" t="s">
        <v>345</v>
      </c>
      <c r="D63" t="s">
        <v>382</v>
      </c>
      <c r="E63" t="s">
        <v>452</v>
      </c>
    </row>
    <row r="64" spans="1:5" x14ac:dyDescent="0.25">
      <c r="A64" t="s">
        <v>448</v>
      </c>
      <c r="B64">
        <v>4</v>
      </c>
      <c r="C64" t="s">
        <v>345</v>
      </c>
      <c r="D64" t="s">
        <v>383</v>
      </c>
      <c r="E64" t="s">
        <v>447</v>
      </c>
    </row>
    <row r="65" spans="1:5" x14ac:dyDescent="0.25">
      <c r="A65" t="s">
        <v>384</v>
      </c>
      <c r="B65">
        <v>4</v>
      </c>
      <c r="C65" t="s">
        <v>345</v>
      </c>
      <c r="D65" t="s">
        <v>385</v>
      </c>
      <c r="E65" t="s">
        <v>461</v>
      </c>
    </row>
    <row r="66" spans="1:5" x14ac:dyDescent="0.25">
      <c r="A66" t="s">
        <v>386</v>
      </c>
      <c r="B66">
        <v>4</v>
      </c>
      <c r="C66" t="s">
        <v>345</v>
      </c>
      <c r="D66" t="s">
        <v>215</v>
      </c>
      <c r="E66" t="s">
        <v>444</v>
      </c>
    </row>
    <row r="67" spans="1:5" x14ac:dyDescent="0.25">
      <c r="A67" t="s">
        <v>387</v>
      </c>
      <c r="B67">
        <v>4</v>
      </c>
      <c r="C67" t="s">
        <v>345</v>
      </c>
      <c r="D67" t="s">
        <v>388</v>
      </c>
      <c r="E67" t="s">
        <v>445</v>
      </c>
    </row>
    <row r="68" spans="1:5" x14ac:dyDescent="0.25">
      <c r="A68" t="s">
        <v>185</v>
      </c>
      <c r="B68">
        <v>4</v>
      </c>
      <c r="C68" t="s">
        <v>345</v>
      </c>
      <c r="D68" t="s">
        <v>395</v>
      </c>
      <c r="E68" t="s">
        <v>430</v>
      </c>
    </row>
    <row r="69" spans="1:5" x14ac:dyDescent="0.25">
      <c r="A69" t="s">
        <v>389</v>
      </c>
      <c r="B69">
        <v>4</v>
      </c>
      <c r="C69" t="s">
        <v>345</v>
      </c>
      <c r="D69" t="s">
        <v>390</v>
      </c>
      <c r="E69" t="s">
        <v>452</v>
      </c>
    </row>
    <row r="77" spans="1:5" x14ac:dyDescent="0.25">
      <c r="A77" s="7"/>
    </row>
    <row r="78" spans="1:5" x14ac:dyDescent="0.25">
      <c r="A78" s="7"/>
    </row>
    <row r="79" spans="1:5" x14ac:dyDescent="0.25">
      <c r="A79" s="7"/>
    </row>
    <row r="80" spans="1:5" x14ac:dyDescent="0.25">
      <c r="A80" s="7"/>
    </row>
  </sheetData>
  <sortState ref="A2:H69">
    <sortCondition ref="B2:B69"/>
    <sortCondition ref="A2:A6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events</vt:lpstr>
      <vt:lpstr>Sheet4</vt:lpstr>
      <vt:lpstr>sponsors</vt:lpstr>
      <vt:lpstr>Sheet1</vt:lpstr>
      <vt:lpstr>animals</vt:lpstr>
      <vt:lpstr>events!events</vt:lpstr>
    </vt:vector>
  </TitlesOfParts>
  <Company>University at Buffalo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Gellatly</dc:creator>
  <cp:lastModifiedBy>Iain Gellatly</cp:lastModifiedBy>
  <dcterms:created xsi:type="dcterms:W3CDTF">2026-04-26T15:28:31Z</dcterms:created>
  <dcterms:modified xsi:type="dcterms:W3CDTF">2026-07-16T02:27:24Z</dcterms:modified>
</cp:coreProperties>
</file>